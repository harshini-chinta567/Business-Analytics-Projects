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It Works" sheetId="1" state="visible" r:id="rId3"/>
    <sheet name="1 Training Data" sheetId="2" state="visible" r:id="rId4"/>
    <sheet name="2 Seasonal Index" sheetId="3" state="visible" r:id="rId5"/>
    <sheet name="3 Regression" sheetId="4" state="visible" r:id="rId6"/>
    <sheet name="4 Forecast 2025"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<sst xmlns="http://schemas.openxmlformats.org/spreadsheetml/2006/main" count="91" uniqueCount="83">
  <si>
    <t xml:space="preserve">How the model works (4 steps)</t>
  </si>
  <si>
    <t xml:space="preserve">Step 1 – Trend</t>
  </si>
  <si>
    <t xml:space="preserve">Fit a straight line through weekly demand over time (Demand vs. Week #), exactly like the professor. Then divide each week's demand by the trend value to get its seasonal ratio (SI). Sheet: 1 Training Data.</t>
  </si>
  <si>
    <t xml:space="preserve">Step 2 – Seasonal Index</t>
  </si>
  <si>
    <t xml:space="preserve">Average the SI for each of the 52 weeks across all training years, then rescale so the 52 numbers average to 1. Same idea as the professor's ASI, but using 8 years instead of 3. Sheet: 2 Seasonal Index.</t>
  </si>
  <si>
    <t xml:space="preserve">Step 3 – Regression</t>
  </si>
  <si>
    <t xml:space="preserve">Remove seasonality (Demand ÷ Seasonal Index), then run a multiple regression of that on Week #, Vehicle Miles, and Jobless Claims. This replaces the professor's plain trend line with a trend line that also reacts to the economy and driving activity. Sheet: 3 Regression.</t>
  </si>
  <si>
    <t xml:space="preserve">Step 4 – Forecast</t>
  </si>
  <si>
    <t xml:space="preserve">For each 2025 week: plug Week #, Vehicle Miles and Jobless Claims into the regression, then multiply by that week's Seasonal Index. Compare to actual 2025 demand. Sheet: 4 Forecast 2025.</t>
  </si>
  <si>
    <t xml:space="preserve">Same as the professor</t>
  </si>
  <si>
    <t xml:space="preserve">Trend line on Week #; SI = Demand ÷ Trend; average SI by week; Forecast = level × seasonal index.</t>
  </si>
  <si>
    <t xml:space="preserve">Different from the professor</t>
  </si>
  <si>
    <t xml:space="preserve">(1) Training years 2015–2024 without 2020–21, instead of 2022–2024. (2) Two covariates added in Step 3. (3) Weeks matched by calendar week of the year. (4) Seasonal index scaled to average 1.</t>
  </si>
  <si>
    <t xml:space="preserve">Covariates</t>
  </si>
  <si>
    <t xml:space="preserve">Vehicle Miles Traveled</t>
  </si>
  <si>
    <t xml:space="preserve">Total monthly U.S. vehicle miles (FHWA), in millions, carried forward to each week. More driving → more gasoline. Expected sign: positive.</t>
  </si>
  <si>
    <t xml:space="preserve">Initial Jobless Claims</t>
  </si>
  <si>
    <t xml:space="preserve">Weekly new unemployment claims (U.S. Dept. of Labor). More layoffs → less commuting and spending → less gasoline. Expected sign: negative.</t>
  </si>
  <si>
    <t xml:space="preserve">Color key</t>
  </si>
  <si>
    <t xml:space="preserve">Blue = typed-in data · Black = formula · Green = pulls from another sheet · Yellow bar = step title · Green fill = key result</t>
  </si>
  <si>
    <t xml:space="preserve">Full version</t>
  </si>
  <si>
    <t xml:space="preserve">Sunoco_Covariate_Model_VMT_JoblessClaims.xlsx has the same model with switchable inputs, the baseline rebuilt, and extra diagnostics. Both give identical forecasts.</t>
  </si>
  <si>
    <t xml:space="preserve">STEP 1 – Training data (2015–2019 and 2022–2024; 2020–21 removed for COVID). Trend line, then seasonal ratio for every week.</t>
  </si>
  <si>
    <t xml:space="preserve">Regression inputs (copies, side by side for LINEST)</t>
  </si>
  <si>
    <t xml:space="preserve">Date</t>
  </si>
  <si>
    <t xml:space="preserve">Week #</t>
  </si>
  <si>
    <t xml:space="preserve">Week of Year</t>
  </si>
  <si>
    <t xml:space="preserve">Demand</t>
  </si>
  <si>
    <t xml:space="preserve">Vehicle Miles (millions)</t>
  </si>
  <si>
    <t xml:space="preserve">Jobless Claims</t>
  </si>
  <si>
    <t xml:space="preserve">Trend
= a + b × Week#</t>
  </si>
  <si>
    <t xml:space="preserve">SI
= Demand ÷ Trend</t>
  </si>
  <si>
    <t xml:space="preserve">Seasonal Index
(from Step 2)</t>
  </si>
  <si>
    <t xml:space="preserve">Deseasonalized
= Demand ÷ Seasonal Index</t>
  </si>
  <si>
    <t xml:space="preserve">Trend line (same idea as the professor)</t>
  </si>
  <si>
    <t xml:space="preserve">X: Week #</t>
  </si>
  <si>
    <t xml:space="preserve">X: Vehicle Miles</t>
  </si>
  <si>
    <t xml:space="preserve">X: Jobless Claims</t>
  </si>
  <si>
    <t xml:space="preserve">a  (intercept)</t>
  </si>
  <si>
    <t xml:space="preserve">b  (slope per week)</t>
  </si>
  <si>
    <t xml:space="preserve">Weeks used</t>
  </si>
  <si>
    <t xml:space="preserve">Source: Sunoco_Training_complete_NEW.xlsx (Target sheet).</t>
  </si>
  <si>
    <t xml:space="preserve">STEP 2 – Average the SI for each week of the year, then scale so the 52 values average exactly 1.</t>
  </si>
  <si>
    <t xml:space="preserve">Average SI
(all training years)</t>
  </si>
  <si>
    <t xml:space="preserve"># Years averaged</t>
  </si>
  <si>
    <t xml:space="preserve">Seasonal Index
= Avg SI ÷ mean of all Avg SI</t>
  </si>
  <si>
    <t xml:space="preserve">How to read it: 1.05 means that week normally runs 5% above an average week; 0.93 means 7% below.</t>
  </si>
  <si>
    <t xml:space="preserve">Average of index</t>
  </si>
  <si>
    <t xml:space="preserve">STEP 3 – Multiple regression: Deseasonalized Demand = b0 + b1×Week# + b2×Vehicle Miles + b3×Jobless Claims</t>
  </si>
  <si>
    <t xml:space="preserve">Uses Excel LINEST on Step 1 columns J (y) and B, E, F (x). Same result as Data &gt; Data Analysis &gt; Regression.</t>
  </si>
  <si>
    <t xml:space="preserve">Term</t>
  </si>
  <si>
    <t xml:space="preserve">Coefficient</t>
  </si>
  <si>
    <t xml:space="preserve">Std. Error</t>
  </si>
  <si>
    <t xml:space="preserve">t Stat</t>
  </si>
  <si>
    <t xml:space="preserve">Significant?
(|t| &gt; 2)</t>
  </si>
  <si>
    <t xml:space="preserve">Expected sign</t>
  </si>
  <si>
    <t xml:space="preserve">Sign OK?</t>
  </si>
  <si>
    <t xml:space="preserve">b0  Intercept</t>
  </si>
  <si>
    <t xml:space="preserve">–</t>
  </si>
  <si>
    <t xml:space="preserve">b1  Week #</t>
  </si>
  <si>
    <t xml:space="preserve">b2  Vehicle Miles</t>
  </si>
  <si>
    <t xml:space="preserve">+ (more driving)</t>
  </si>
  <si>
    <t xml:space="preserve">b3  Jobless Claims</t>
  </si>
  <si>
    <t xml:space="preserve">− (fewer jobs)</t>
  </si>
  <si>
    <t xml:space="preserve">R Square</t>
  </si>
  <si>
    <t xml:space="preserve">Std. error of estimate</t>
  </si>
  <si>
    <t xml:space="preserve">Observations</t>
  </si>
  <si>
    <t xml:space="preserve">What the coefficients mean</t>
  </si>
  <si>
    <t xml:space="preserve">Note: LINEST lists coefficients in reverse order (last X first), which is why the INDEX column numbers run 4, 3, 2, 1.</t>
  </si>
  <si>
    <t xml:space="preserve">STEP 4 – Forecast = (b0 + b1×Week# + b2×Vehicle Miles + b3×Jobless Claims) × Seasonal Index</t>
  </si>
  <si>
    <t xml:space="preserve">Vehicle Miles</t>
  </si>
  <si>
    <t xml:space="preserve">Base Level
= b0 + b1·Wk + b2·VMT + b3·Claims</t>
  </si>
  <si>
    <t xml:space="preserve">Seasonal Index</t>
  </si>
  <si>
    <t xml:space="preserve">FORECAST
= Base × Index</t>
  </si>
  <si>
    <t xml:space="preserve">Actual 2025</t>
  </si>
  <si>
    <t xml:space="preserve">Error
= Actual − Forecast</t>
  </si>
  <si>
    <t xml:space="preserve">Abs % Error</t>
  </si>
  <si>
    <t xml:space="preserve">2025 results</t>
  </si>
  <si>
    <t xml:space="preserve">MAPE (avg abs % error)</t>
  </si>
  <si>
    <t xml:space="preserve">Professor model MAPE</t>
  </si>
  <si>
    <t xml:space="preserve">Avg error (bias)</t>
  </si>
  <si>
    <t xml:space="preserve">Actual 2025 from the class ASI demo file. Covariates from the new dataset.</t>
  </si>
  <si>
    <t xml:space="preserve">Professor MAPE computed from the class model (typed in, not live).</t>
  </si>
</sst>
</file>

<file path=xl/styles.xml><?xml version="1.0" encoding="utf-8"?>
<styleSheet xmlns="http://schemas.openxmlformats.org/spreadsheetml/2006/main">
  <numFmts count="13">
    <numFmt numFmtId="164" formatCode="General"/>
    <numFmt numFmtId="165" formatCode="yyyy\-mm\-dd"/>
    <numFmt numFmtId="166" formatCode="General"/>
    <numFmt numFmtId="167" formatCode="#,##0"/>
    <numFmt numFmtId="168" formatCode="0.0000"/>
    <numFmt numFmtId="169" formatCode="#,##0.00"/>
    <numFmt numFmtId="170" formatCode="#,##0.0000"/>
    <numFmt numFmtId="171" formatCode="0.00"/>
    <numFmt numFmtId="172" formatCode="#,##0.000000"/>
    <numFmt numFmtId="173" formatCode="0.000"/>
    <numFmt numFmtId="174" formatCode="#,##0;\(#,##0\)"/>
    <numFmt numFmtId="175" formatCode="0.0%"/>
    <numFmt numFmtId="176" formatCode="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i val="true"/>
      <sz val="11"/>
      <name val="Arial"/>
      <family val="0"/>
      <charset val="1"/>
    </font>
    <font>
      <b val="true"/>
      <sz val="11"/>
      <color rgb="FFFFFFFF"/>
      <name val="Arial"/>
      <family val="0"/>
      <charset val="1"/>
    </font>
    <font>
      <sz val="11"/>
      <color rgb="FF0000FF"/>
      <name val="Arial"/>
      <family val="0"/>
      <charset val="1"/>
    </font>
    <font>
      <sz val="11"/>
      <color rgb="FF008000"/>
      <name val="Arial"/>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E2EFDA"/>
        <bgColor rgb="FFFFF2CC"/>
      </patternFill>
    </fill>
    <fill>
      <patternFill patternType="solid">
        <fgColor rgb="FFFFF2CC"/>
        <bgColor rgb="FFE2EFDA"/>
      </patternFill>
    </fill>
    <fill>
      <patternFill patternType="solid">
        <fgColor rgb="FF20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6" fontId="6" fillId="0" borderId="0" xfId="0" applyFont="true" applyBorder="fals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4A7EBB"/>
      <rgbColor rgb="FF969696"/>
      <rgbColor rgb="FF20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Seasonal Index by Week of Year</a:t>
            </a:r>
          </a:p>
        </c:rich>
      </c:tx>
      <c:overlay val="0"/>
      <c:spPr>
        <a:noFill/>
        <a:ln w="0">
          <a:noFill/>
        </a:ln>
      </c:spPr>
    </c:title>
    <c:autoTitleDeleted val="0"/>
    <c:plotArea>
      <c:lineChart>
        <c:grouping val="standard"/>
        <c:varyColors val="0"/>
        <c:ser>
          <c:idx val="0"/>
          <c:order val="0"/>
          <c:tx>
            <c:strRef>
              <c:f>'2 Seasonal Index'!D2</c:f>
              <c:strCache>
                <c:ptCount val="1"/>
                <c:pt idx="0">
                  <c:v>Seasonal Index
= Avg SI ÷ mean of all Avg SI</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Seasonal Index'!$A$3:$A$54</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'2 Seasonal Index'!$D$3:$D$54</c:f>
              <c:numCache>
                <c:formatCode>0.0000</c:formatCode>
                <c:ptCount val="52"/>
                <c:pt idx="0">
                  <c:v>0.914658189121246</c:v>
                </c:pt>
                <c:pt idx="1">
                  <c:v>0.921123720796805</c:v>
                </c:pt>
                <c:pt idx="2">
                  <c:v>0.932475709892495</c:v>
                </c:pt>
                <c:pt idx="3">
                  <c:v>0.95567024426302</c:v>
                </c:pt>
                <c:pt idx="4">
                  <c:v>0.963785211095498</c:v>
                </c:pt>
                <c:pt idx="5">
                  <c:v>0.93990301851115</c:v>
                </c:pt>
                <c:pt idx="6">
                  <c:v>0.963162093989007</c:v>
                </c:pt>
                <c:pt idx="7">
                  <c:v>0.978387056473038</c:v>
                </c:pt>
                <c:pt idx="8">
                  <c:v>0.986293676275175</c:v>
                </c:pt>
                <c:pt idx="9">
                  <c:v>0.995274907218877</c:v>
                </c:pt>
                <c:pt idx="10">
                  <c:v>1.00212775296089</c:v>
                </c:pt>
                <c:pt idx="11">
                  <c:v>0.99255102448152</c:v>
                </c:pt>
                <c:pt idx="12">
                  <c:v>1.00671990755393</c:v>
                </c:pt>
                <c:pt idx="13">
                  <c:v>0.994713065050192</c:v>
                </c:pt>
                <c:pt idx="14">
                  <c:v>1.00303091571571</c:v>
                </c:pt>
                <c:pt idx="15">
                  <c:v>1.00209740802543</c:v>
                </c:pt>
                <c:pt idx="16">
                  <c:v>0.985720009085136</c:v>
                </c:pt>
                <c:pt idx="17">
                  <c:v>1.01814015000929</c:v>
                </c:pt>
                <c:pt idx="18">
                  <c:v>1.01337123918897</c:v>
                </c:pt>
                <c:pt idx="19">
                  <c:v>1.03551191118317</c:v>
                </c:pt>
                <c:pt idx="20">
                  <c:v>1.0352245807811</c:v>
                </c:pt>
                <c:pt idx="21">
                  <c:v>1.01397917017061</c:v>
                </c:pt>
                <c:pt idx="22">
                  <c:v>1.03755973679196</c:v>
                </c:pt>
                <c:pt idx="23">
                  <c:v>1.03445132468082</c:v>
                </c:pt>
                <c:pt idx="24">
                  <c:v>1.03606069309931</c:v>
                </c:pt>
                <c:pt idx="25">
                  <c:v>1.05775104170879</c:v>
                </c:pt>
                <c:pt idx="26">
                  <c:v>1.02126188503389</c:v>
                </c:pt>
                <c:pt idx="27">
                  <c:v>1.01350902481598</c:v>
                </c:pt>
                <c:pt idx="28">
                  <c:v>1.05195667886475</c:v>
                </c:pt>
                <c:pt idx="29">
                  <c:v>1.03171304153628</c:v>
                </c:pt>
                <c:pt idx="30">
                  <c:v>1.03997322006122</c:v>
                </c:pt>
                <c:pt idx="31">
                  <c:v>1.04061693174176</c:v>
                </c:pt>
                <c:pt idx="32">
                  <c:v>1.02747806583438</c:v>
                </c:pt>
                <c:pt idx="33">
                  <c:v>1.03816398467415</c:v>
                </c:pt>
                <c:pt idx="34">
                  <c:v>1.02246595866814</c:v>
                </c:pt>
                <c:pt idx="35">
                  <c:v>1.00361083828068</c:v>
                </c:pt>
                <c:pt idx="36">
                  <c:v>0.988109440121203</c:v>
                </c:pt>
                <c:pt idx="37">
                  <c:v>1.00996081852754</c:v>
                </c:pt>
                <c:pt idx="38">
                  <c:v>0.982712197281613</c:v>
                </c:pt>
                <c:pt idx="39">
                  <c:v>1.0036663428041</c:v>
                </c:pt>
                <c:pt idx="40">
                  <c:v>0.995835782550445</c:v>
                </c:pt>
                <c:pt idx="41">
                  <c:v>1.00307364557144</c:v>
                </c:pt>
                <c:pt idx="42">
                  <c:v>1.01224087755293</c:v>
                </c:pt>
                <c:pt idx="43">
                  <c:v>1.01203159220993</c:v>
                </c:pt>
                <c:pt idx="44">
                  <c:v>1.01104078083898</c:v>
                </c:pt>
                <c:pt idx="45">
                  <c:v>0.986356106092814</c:v>
                </c:pt>
                <c:pt idx="46">
                  <c:v>0.965789408729148</c:v>
                </c:pt>
                <c:pt idx="47">
                  <c:v>0.974753768618106</c:v>
                </c:pt>
                <c:pt idx="48">
                  <c:v>0.980293720669235</c:v>
                </c:pt>
                <c:pt idx="49">
                  <c:v>1.00060911532618</c:v>
                </c:pt>
                <c:pt idx="50">
                  <c:v>1.02197331378228</c:v>
                </c:pt>
                <c:pt idx="51">
                  <c:v>0.941059701689701</c:v>
                </c:pt>
              </c:numCache>
            </c:numRef>
          </c:val>
          <c:smooth val="1"/>
        </c:ser>
        <c:hiLowLines>
          <c:spPr>
            <a:ln w="0">
              <a:noFill/>
            </a:ln>
          </c:spPr>
        </c:hiLowLines>
        <c:marker val="0"/>
        <c:axId val="4479830"/>
        <c:axId val="63236743"/>
      </c:lineChart>
      <c:catAx>
        <c:axId val="44798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236743"/>
        <c:crosses val="autoZero"/>
        <c:auto val="1"/>
        <c:lblAlgn val="ctr"/>
        <c:lblOffset val="100"/>
        <c:noMultiLvlLbl val="0"/>
      </c:catAx>
      <c:valAx>
        <c:axId val="63236743"/>
        <c:scaling>
          <c:orientation val="minMax"/>
          <c:min val="0.85"/>
        </c:scaling>
        <c:delete val="0"/>
        <c:axPos val="l"/>
        <c:majorGridlines>
          <c:spPr>
            <a:ln w="9360">
              <a:solidFill>
                <a:srgbClr val="878787"/>
              </a:solidFill>
              <a:round/>
            </a:ln>
          </c:spPr>
        </c:majorGridlines>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7983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2025: Forecast vs. Actual</a:t>
            </a:r>
          </a:p>
        </c:rich>
      </c:tx>
      <c:overlay val="0"/>
      <c:spPr>
        <a:noFill/>
        <a:ln w="0">
          <a:noFill/>
        </a:ln>
      </c:spPr>
    </c:title>
    <c:autoTitleDeleted val="0"/>
    <c:plotArea>
      <c:lineChart>
        <c:grouping val="standard"/>
        <c:varyColors val="0"/>
        <c:ser>
          <c:idx val="0"/>
          <c:order val="0"/>
          <c:tx>
            <c:strRef>
              <c:f>'4 Forecast 2025'!H3</c:f>
              <c:strCache>
                <c:ptCount val="1"/>
                <c:pt idx="0">
                  <c:v>FORECAST
= Base × Index</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Forecast 2025'!$A$4:$A$55</c:f>
              <c:strCache>
                <c:ptCount val="52"/>
                <c:pt idx="0">
                  <c:v>2025-01-03</c:v>
                </c:pt>
                <c:pt idx="1">
                  <c:v>2025-01-10</c:v>
                </c:pt>
                <c:pt idx="2">
                  <c:v>2025-01-17</c:v>
                </c:pt>
                <c:pt idx="3">
                  <c:v>2025-01-24</c:v>
                </c:pt>
                <c:pt idx="4">
                  <c:v>2025-01-31</c:v>
                </c:pt>
                <c:pt idx="5">
                  <c:v>2025-02-07</c:v>
                </c:pt>
                <c:pt idx="6">
                  <c:v>2025-02-14</c:v>
                </c:pt>
                <c:pt idx="7">
                  <c:v>2025-02-21</c:v>
                </c:pt>
                <c:pt idx="8">
                  <c:v>2025-02-28</c:v>
                </c:pt>
                <c:pt idx="9">
                  <c:v>2025-03-07</c:v>
                </c:pt>
                <c:pt idx="10">
                  <c:v>2025-03-14</c:v>
                </c:pt>
                <c:pt idx="11">
                  <c:v>2025-03-21</c:v>
                </c:pt>
                <c:pt idx="12">
                  <c:v>2025-03-28</c:v>
                </c:pt>
                <c:pt idx="13">
                  <c:v>2025-04-04</c:v>
                </c:pt>
                <c:pt idx="14">
                  <c:v>2025-04-11</c:v>
                </c:pt>
                <c:pt idx="15">
                  <c:v>2025-04-18</c:v>
                </c:pt>
                <c:pt idx="16">
                  <c:v>2025-04-25</c:v>
                </c:pt>
                <c:pt idx="17">
                  <c:v>2025-05-02</c:v>
                </c:pt>
                <c:pt idx="18">
                  <c:v>2025-05-09</c:v>
                </c:pt>
                <c:pt idx="19">
                  <c:v>2025-05-16</c:v>
                </c:pt>
                <c:pt idx="20">
                  <c:v>2025-05-23</c:v>
                </c:pt>
                <c:pt idx="21">
                  <c:v>2025-05-30</c:v>
                </c:pt>
                <c:pt idx="22">
                  <c:v>2025-06-06</c:v>
                </c:pt>
                <c:pt idx="23">
                  <c:v>2025-06-13</c:v>
                </c:pt>
                <c:pt idx="24">
                  <c:v>2025-06-20</c:v>
                </c:pt>
                <c:pt idx="25">
                  <c:v>2025-06-27</c:v>
                </c:pt>
                <c:pt idx="26">
                  <c:v>2025-07-04</c:v>
                </c:pt>
                <c:pt idx="27">
                  <c:v>2025-07-11</c:v>
                </c:pt>
                <c:pt idx="28">
                  <c:v>2025-07-18</c:v>
                </c:pt>
                <c:pt idx="29">
                  <c:v>2025-07-25</c:v>
                </c:pt>
                <c:pt idx="30">
                  <c:v>2025-08-01</c:v>
                </c:pt>
                <c:pt idx="31">
                  <c:v>2025-08-08</c:v>
                </c:pt>
                <c:pt idx="32">
                  <c:v>2025-08-15</c:v>
                </c:pt>
                <c:pt idx="33">
                  <c:v>2025-08-22</c:v>
                </c:pt>
                <c:pt idx="34">
                  <c:v>2025-08-29</c:v>
                </c:pt>
                <c:pt idx="35">
                  <c:v>2025-09-05</c:v>
                </c:pt>
                <c:pt idx="36">
                  <c:v>2025-09-12</c:v>
                </c:pt>
                <c:pt idx="37">
                  <c:v>2025-09-19</c:v>
                </c:pt>
                <c:pt idx="38">
                  <c:v>2025-09-26</c:v>
                </c:pt>
                <c:pt idx="39">
                  <c:v>2025-10-03</c:v>
                </c:pt>
                <c:pt idx="40">
                  <c:v>2025-10-10</c:v>
                </c:pt>
                <c:pt idx="41">
                  <c:v>2025-10-17</c:v>
                </c:pt>
                <c:pt idx="42">
                  <c:v>2025-10-24</c:v>
                </c:pt>
                <c:pt idx="43">
                  <c:v>2025-10-31</c:v>
                </c:pt>
                <c:pt idx="44">
                  <c:v>2025-11-07</c:v>
                </c:pt>
                <c:pt idx="45">
                  <c:v>2025-11-14</c:v>
                </c:pt>
                <c:pt idx="46">
                  <c:v>2025-11-21</c:v>
                </c:pt>
                <c:pt idx="47">
                  <c:v>2025-11-28</c:v>
                </c:pt>
                <c:pt idx="48">
                  <c:v>2025-12-05</c:v>
                </c:pt>
                <c:pt idx="49">
                  <c:v>2025-12-12</c:v>
                </c:pt>
                <c:pt idx="50">
                  <c:v>2025-12-19</c:v>
                </c:pt>
                <c:pt idx="51">
                  <c:v>2025-12-26</c:v>
                </c:pt>
              </c:strCache>
            </c:strRef>
          </c:cat>
          <c:val>
            <c:numRef>
              <c:f>'4 Forecast 2025'!$H$4:$H$55</c:f>
              <c:numCache>
                <c:formatCode>#,##0</c:formatCode>
                <c:ptCount val="52"/>
                <c:pt idx="0">
                  <c:v>8019.26147471083</c:v>
                </c:pt>
                <c:pt idx="1">
                  <c:v>8089.18263978521</c:v>
                </c:pt>
                <c:pt idx="2">
                  <c:v>8109.08379662098</c:v>
                </c:pt>
                <c:pt idx="3">
                  <c:v>8299.14787605959</c:v>
                </c:pt>
                <c:pt idx="4">
                  <c:v>8396.26121202061</c:v>
                </c:pt>
                <c:pt idx="5">
                  <c:v>8166.77311283885</c:v>
                </c:pt>
                <c:pt idx="6">
                  <c:v>8377.59430548818</c:v>
                </c:pt>
                <c:pt idx="7">
                  <c:v>8493.63314674725</c:v>
                </c:pt>
                <c:pt idx="8">
                  <c:v>8513.59596585115</c:v>
                </c:pt>
                <c:pt idx="9">
                  <c:v>8634.48862414807</c:v>
                </c:pt>
                <c:pt idx="10">
                  <c:v>8697.69610157093</c:v>
                </c:pt>
                <c:pt idx="11">
                  <c:v>8583.81910234237</c:v>
                </c:pt>
                <c:pt idx="12">
                  <c:v>8707.45506959917</c:v>
                </c:pt>
                <c:pt idx="13">
                  <c:v>8612.61386225424</c:v>
                </c:pt>
                <c:pt idx="14">
                  <c:v>8675.07674480083</c:v>
                </c:pt>
                <c:pt idx="15">
                  <c:v>8656.30306903536</c:v>
                </c:pt>
                <c:pt idx="16">
                  <c:v>8494.97216748015</c:v>
                </c:pt>
                <c:pt idx="17">
                  <c:v>8732.231445938</c:v>
                </c:pt>
                <c:pt idx="18">
                  <c:v>8719.34293321221</c:v>
                </c:pt>
                <c:pt idx="19">
                  <c:v>8989.41884539107</c:v>
                </c:pt>
                <c:pt idx="20">
                  <c:v>8988.05571038954</c:v>
                </c:pt>
                <c:pt idx="21">
                  <c:v>8772.40033797534</c:v>
                </c:pt>
                <c:pt idx="22">
                  <c:v>8952.7475638044</c:v>
                </c:pt>
                <c:pt idx="23">
                  <c:v>8918.81698133425</c:v>
                </c:pt>
                <c:pt idx="24">
                  <c:v>8939.03139731576</c:v>
                </c:pt>
                <c:pt idx="25">
                  <c:v>9144.17969711795</c:v>
                </c:pt>
                <c:pt idx="26">
                  <c:v>8840.6955623043</c:v>
                </c:pt>
                <c:pt idx="27">
                  <c:v>8780.0711560719</c:v>
                </c:pt>
                <c:pt idx="28">
                  <c:v>9162.88288158721</c:v>
                </c:pt>
                <c:pt idx="29">
                  <c:v>8993.16011707138</c:v>
                </c:pt>
                <c:pt idx="30">
                  <c:v>9060.77589593477</c:v>
                </c:pt>
                <c:pt idx="31">
                  <c:v>9045.41830299081</c:v>
                </c:pt>
                <c:pt idx="32">
                  <c:v>8919.42162367168</c:v>
                </c:pt>
                <c:pt idx="33">
                  <c:v>8985.75563192633</c:v>
                </c:pt>
                <c:pt idx="34">
                  <c:v>8859.1438133145</c:v>
                </c:pt>
                <c:pt idx="35">
                  <c:v>8675.55350037062</c:v>
                </c:pt>
                <c:pt idx="36">
                  <c:v>8479.67056157316</c:v>
                </c:pt>
                <c:pt idx="37">
                  <c:v>8754.29464880554</c:v>
                </c:pt>
                <c:pt idx="38">
                  <c:v>8553.09751091095</c:v>
                </c:pt>
                <c:pt idx="39">
                  <c:v>8717.91654117982</c:v>
                </c:pt>
                <c:pt idx="40">
                  <c:v>8627.19205425222</c:v>
                </c:pt>
                <c:pt idx="41">
                  <c:v>8715.36697230098</c:v>
                </c:pt>
                <c:pt idx="42">
                  <c:v>8769.24863426153</c:v>
                </c:pt>
                <c:pt idx="43">
                  <c:v>8792.72429994742</c:v>
                </c:pt>
                <c:pt idx="44">
                  <c:v>8763.74589287108</c:v>
                </c:pt>
                <c:pt idx="45">
                  <c:v>8548.2370508469</c:v>
                </c:pt>
                <c:pt idx="46">
                  <c:v>8355.11794459098</c:v>
                </c:pt>
                <c:pt idx="47">
                  <c:v>8441.49848236743</c:v>
                </c:pt>
                <c:pt idx="48">
                  <c:v>8493.14912572827</c:v>
                </c:pt>
                <c:pt idx="49">
                  <c:v>8617.11952960617</c:v>
                </c:pt>
                <c:pt idx="50">
                  <c:v>8851.60065014543</c:v>
                </c:pt>
                <c:pt idx="51">
                  <c:v>8171.80165484359</c:v>
                </c:pt>
              </c:numCache>
            </c:numRef>
          </c:val>
          <c:smooth val="0"/>
        </c:ser>
        <c:ser>
          <c:idx val="1"/>
          <c:order val="1"/>
          <c:tx>
            <c:strRef>
              <c:f>'4 Forecast 2025'!I3</c:f>
              <c:strCache>
                <c:ptCount val="1"/>
                <c:pt idx="0">
                  <c:v>Actual 2025</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Forecast 2025'!$A$4:$A$55</c:f>
              <c:strCache>
                <c:ptCount val="52"/>
                <c:pt idx="0">
                  <c:v>2025-01-03</c:v>
                </c:pt>
                <c:pt idx="1">
                  <c:v>2025-01-10</c:v>
                </c:pt>
                <c:pt idx="2">
                  <c:v>2025-01-17</c:v>
                </c:pt>
                <c:pt idx="3">
                  <c:v>2025-01-24</c:v>
                </c:pt>
                <c:pt idx="4">
                  <c:v>2025-01-31</c:v>
                </c:pt>
                <c:pt idx="5">
                  <c:v>2025-02-07</c:v>
                </c:pt>
                <c:pt idx="6">
                  <c:v>2025-02-14</c:v>
                </c:pt>
                <c:pt idx="7">
                  <c:v>2025-02-21</c:v>
                </c:pt>
                <c:pt idx="8">
                  <c:v>2025-02-28</c:v>
                </c:pt>
                <c:pt idx="9">
                  <c:v>2025-03-07</c:v>
                </c:pt>
                <c:pt idx="10">
                  <c:v>2025-03-14</c:v>
                </c:pt>
                <c:pt idx="11">
                  <c:v>2025-03-21</c:v>
                </c:pt>
                <c:pt idx="12">
                  <c:v>2025-03-28</c:v>
                </c:pt>
                <c:pt idx="13">
                  <c:v>2025-04-04</c:v>
                </c:pt>
                <c:pt idx="14">
                  <c:v>2025-04-11</c:v>
                </c:pt>
                <c:pt idx="15">
                  <c:v>2025-04-18</c:v>
                </c:pt>
                <c:pt idx="16">
                  <c:v>2025-04-25</c:v>
                </c:pt>
                <c:pt idx="17">
                  <c:v>2025-05-02</c:v>
                </c:pt>
                <c:pt idx="18">
                  <c:v>2025-05-09</c:v>
                </c:pt>
                <c:pt idx="19">
                  <c:v>2025-05-16</c:v>
                </c:pt>
                <c:pt idx="20">
                  <c:v>2025-05-23</c:v>
                </c:pt>
                <c:pt idx="21">
                  <c:v>2025-05-30</c:v>
                </c:pt>
                <c:pt idx="22">
                  <c:v>2025-06-06</c:v>
                </c:pt>
                <c:pt idx="23">
                  <c:v>2025-06-13</c:v>
                </c:pt>
                <c:pt idx="24">
                  <c:v>2025-06-20</c:v>
                </c:pt>
                <c:pt idx="25">
                  <c:v>2025-06-27</c:v>
                </c:pt>
                <c:pt idx="26">
                  <c:v>2025-07-04</c:v>
                </c:pt>
                <c:pt idx="27">
                  <c:v>2025-07-11</c:v>
                </c:pt>
                <c:pt idx="28">
                  <c:v>2025-07-18</c:v>
                </c:pt>
                <c:pt idx="29">
                  <c:v>2025-07-25</c:v>
                </c:pt>
                <c:pt idx="30">
                  <c:v>2025-08-01</c:v>
                </c:pt>
                <c:pt idx="31">
                  <c:v>2025-08-08</c:v>
                </c:pt>
                <c:pt idx="32">
                  <c:v>2025-08-15</c:v>
                </c:pt>
                <c:pt idx="33">
                  <c:v>2025-08-22</c:v>
                </c:pt>
                <c:pt idx="34">
                  <c:v>2025-08-29</c:v>
                </c:pt>
                <c:pt idx="35">
                  <c:v>2025-09-05</c:v>
                </c:pt>
                <c:pt idx="36">
                  <c:v>2025-09-12</c:v>
                </c:pt>
                <c:pt idx="37">
                  <c:v>2025-09-19</c:v>
                </c:pt>
                <c:pt idx="38">
                  <c:v>2025-09-26</c:v>
                </c:pt>
                <c:pt idx="39">
                  <c:v>2025-10-03</c:v>
                </c:pt>
                <c:pt idx="40">
                  <c:v>2025-10-10</c:v>
                </c:pt>
                <c:pt idx="41">
                  <c:v>2025-10-17</c:v>
                </c:pt>
                <c:pt idx="42">
                  <c:v>2025-10-24</c:v>
                </c:pt>
                <c:pt idx="43">
                  <c:v>2025-10-31</c:v>
                </c:pt>
                <c:pt idx="44">
                  <c:v>2025-11-07</c:v>
                </c:pt>
                <c:pt idx="45">
                  <c:v>2025-11-14</c:v>
                </c:pt>
                <c:pt idx="46">
                  <c:v>2025-11-21</c:v>
                </c:pt>
                <c:pt idx="47">
                  <c:v>2025-11-28</c:v>
                </c:pt>
                <c:pt idx="48">
                  <c:v>2025-12-05</c:v>
                </c:pt>
                <c:pt idx="49">
                  <c:v>2025-12-12</c:v>
                </c:pt>
                <c:pt idx="50">
                  <c:v>2025-12-19</c:v>
                </c:pt>
                <c:pt idx="51">
                  <c:v>2025-12-26</c:v>
                </c:pt>
              </c:strCache>
            </c:strRef>
          </c:cat>
          <c:val>
            <c:numRef>
              <c:f>'4 Forecast 2025'!$I$4:$I$55</c:f>
              <c:numCache>
                <c:formatCode>#,##0</c:formatCode>
                <c:ptCount val="52"/>
                <c:pt idx="0">
                  <c:v>8481</c:v>
                </c:pt>
                <c:pt idx="1">
                  <c:v>8325</c:v>
                </c:pt>
                <c:pt idx="2">
                  <c:v>8086</c:v>
                </c:pt>
                <c:pt idx="3">
                  <c:v>8302</c:v>
                </c:pt>
                <c:pt idx="4">
                  <c:v>8328</c:v>
                </c:pt>
                <c:pt idx="5">
                  <c:v>8576</c:v>
                </c:pt>
                <c:pt idx="6">
                  <c:v>8239</c:v>
                </c:pt>
                <c:pt idx="7">
                  <c:v>8454</c:v>
                </c:pt>
                <c:pt idx="8">
                  <c:v>8877</c:v>
                </c:pt>
                <c:pt idx="9">
                  <c:v>9182</c:v>
                </c:pt>
                <c:pt idx="10">
                  <c:v>8817</c:v>
                </c:pt>
                <c:pt idx="11">
                  <c:v>8643</c:v>
                </c:pt>
                <c:pt idx="12">
                  <c:v>8495</c:v>
                </c:pt>
                <c:pt idx="13">
                  <c:v>8425</c:v>
                </c:pt>
                <c:pt idx="14">
                  <c:v>8462</c:v>
                </c:pt>
                <c:pt idx="15">
                  <c:v>9414</c:v>
                </c:pt>
                <c:pt idx="16">
                  <c:v>9098</c:v>
                </c:pt>
                <c:pt idx="17">
                  <c:v>8717</c:v>
                </c:pt>
                <c:pt idx="18">
                  <c:v>8794</c:v>
                </c:pt>
                <c:pt idx="19">
                  <c:v>8644</c:v>
                </c:pt>
                <c:pt idx="20">
                  <c:v>9452</c:v>
                </c:pt>
                <c:pt idx="21">
                  <c:v>8263</c:v>
                </c:pt>
                <c:pt idx="22">
                  <c:v>9170</c:v>
                </c:pt>
                <c:pt idx="23">
                  <c:v>9299</c:v>
                </c:pt>
                <c:pt idx="24">
                  <c:v>9688</c:v>
                </c:pt>
                <c:pt idx="25">
                  <c:v>8640</c:v>
                </c:pt>
                <c:pt idx="26">
                  <c:v>9159</c:v>
                </c:pt>
                <c:pt idx="27">
                  <c:v>8489</c:v>
                </c:pt>
                <c:pt idx="28">
                  <c:v>8967</c:v>
                </c:pt>
                <c:pt idx="29">
                  <c:v>9152</c:v>
                </c:pt>
                <c:pt idx="30">
                  <c:v>9040</c:v>
                </c:pt>
                <c:pt idx="31">
                  <c:v>9000</c:v>
                </c:pt>
                <c:pt idx="32">
                  <c:v>8842</c:v>
                </c:pt>
                <c:pt idx="33">
                  <c:v>9240</c:v>
                </c:pt>
                <c:pt idx="34">
                  <c:v>9117</c:v>
                </c:pt>
                <c:pt idx="35">
                  <c:v>8508</c:v>
                </c:pt>
                <c:pt idx="36">
                  <c:v>8810</c:v>
                </c:pt>
                <c:pt idx="37">
                  <c:v>8959</c:v>
                </c:pt>
                <c:pt idx="38">
                  <c:v>8518</c:v>
                </c:pt>
                <c:pt idx="39">
                  <c:v>8919</c:v>
                </c:pt>
                <c:pt idx="40">
                  <c:v>8455</c:v>
                </c:pt>
                <c:pt idx="41">
                  <c:v>8454</c:v>
                </c:pt>
                <c:pt idx="42">
                  <c:v>8924</c:v>
                </c:pt>
                <c:pt idx="43">
                  <c:v>8874</c:v>
                </c:pt>
                <c:pt idx="44">
                  <c:v>9028</c:v>
                </c:pt>
                <c:pt idx="45">
                  <c:v>8528</c:v>
                </c:pt>
                <c:pt idx="46">
                  <c:v>8726</c:v>
                </c:pt>
                <c:pt idx="47">
                  <c:v>8326</c:v>
                </c:pt>
                <c:pt idx="48">
                  <c:v>8456</c:v>
                </c:pt>
                <c:pt idx="49">
                  <c:v>9078</c:v>
                </c:pt>
                <c:pt idx="50">
                  <c:v>8942</c:v>
                </c:pt>
                <c:pt idx="51">
                  <c:v>8563</c:v>
                </c:pt>
              </c:numCache>
            </c:numRef>
          </c:val>
          <c:smooth val="0"/>
        </c:ser>
        <c:hiLowLines>
          <c:spPr>
            <a:ln w="0">
              <a:noFill/>
            </a:ln>
          </c:spPr>
        </c:hiLowLines>
        <c:marker val="0"/>
        <c:axId val="29010586"/>
        <c:axId val="19783845"/>
      </c:lineChart>
      <c:catAx>
        <c:axId val="29010586"/>
        <c:scaling>
          <c:orientation val="minMax"/>
        </c:scaling>
        <c:delete val="0"/>
        <c:axPos val="b"/>
        <c:numFmt formatCode="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783845"/>
        <c:crosses val="autoZero"/>
        <c:auto val="1"/>
        <c:lblAlgn val="ctr"/>
        <c:lblOffset val="100"/>
        <c:noMultiLvlLbl val="0"/>
      </c:catAx>
      <c:valAx>
        <c:axId val="19783845"/>
        <c:scaling>
          <c:orientation val="minMax"/>
          <c:min val="7500"/>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01058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4</xdr:row>
      <xdr:rowOff>0</xdr:rowOff>
    </xdr:from>
    <xdr:to>
      <xdr:col>15</xdr:col>
      <xdr:colOff>364680</xdr:colOff>
      <xdr:row>19</xdr:row>
      <xdr:rowOff>21960</xdr:rowOff>
    </xdr:to>
    <xdr:graphicFrame>
      <xdr:nvGraphicFramePr>
        <xdr:cNvPr id="0" name="Chart 1"/>
        <xdr:cNvGraphicFramePr/>
      </xdr:nvGraphicFramePr>
      <xdr:xfrm>
        <a:off x="4840560" y="114300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10</xdr:row>
      <xdr:rowOff>0</xdr:rowOff>
    </xdr:from>
    <xdr:to>
      <xdr:col>20</xdr:col>
      <xdr:colOff>414000</xdr:colOff>
      <xdr:row>25</xdr:row>
      <xdr:rowOff>21960</xdr:rowOff>
    </xdr:to>
    <xdr:graphicFrame>
      <xdr:nvGraphicFramePr>
        <xdr:cNvPr id="1" name="Chart 1"/>
        <xdr:cNvGraphicFramePr/>
      </xdr:nvGraphicFramePr>
      <xdr:xfrm>
        <a:off x="8810640" y="228600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5"/>
  </cols>
  <sheetData>
    <row r="1" customFormat="false" ht="17.35" hidden="false" customHeight="false" outlineLevel="0" collapsed="false">
      <c r="A1" s="1" t="s">
        <v>0</v>
      </c>
    </row>
    <row r="2" customFormat="false" ht="15" hidden="false" customHeight="false" outlineLevel="0" collapsed="false">
      <c r="A2" s="2"/>
    </row>
    <row r="3" customFormat="false" ht="26.85" hidden="false" customHeight="false" outlineLevel="0" collapsed="false">
      <c r="A3" s="3" t="s">
        <v>1</v>
      </c>
      <c r="B3" s="4" t="s">
        <v>2</v>
      </c>
    </row>
    <row r="4" customFormat="false" ht="26.85" hidden="false" customHeight="false" outlineLevel="0" collapsed="false">
      <c r="A4" s="3" t="s">
        <v>3</v>
      </c>
      <c r="B4" s="4" t="s">
        <v>4</v>
      </c>
    </row>
    <row r="5" customFormat="false" ht="39.55" hidden="false" customHeight="false" outlineLevel="0" collapsed="false">
      <c r="A5" s="3" t="s">
        <v>5</v>
      </c>
      <c r="B5" s="4" t="s">
        <v>6</v>
      </c>
    </row>
    <row r="6" customFormat="false" ht="26.85" hidden="false" customHeight="false" outlineLevel="0" collapsed="false">
      <c r="A6" s="3" t="s">
        <v>7</v>
      </c>
      <c r="B6" s="4" t="s">
        <v>8</v>
      </c>
    </row>
    <row r="7" customFormat="false" ht="15" hidden="false" customHeight="false" outlineLevel="0" collapsed="false">
      <c r="A7" s="2"/>
    </row>
    <row r="8" customFormat="false" ht="15" hidden="false" customHeight="false" outlineLevel="0" collapsed="false">
      <c r="A8" s="3" t="s">
        <v>9</v>
      </c>
      <c r="B8" s="4" t="s">
        <v>10</v>
      </c>
    </row>
    <row r="9" customFormat="false" ht="26.85" hidden="false" customHeight="false" outlineLevel="0" collapsed="false">
      <c r="A9" s="3" t="s">
        <v>11</v>
      </c>
      <c r="B9" s="4" t="s">
        <v>12</v>
      </c>
    </row>
    <row r="10" customFormat="false" ht="15" hidden="false" customHeight="false" outlineLevel="0" collapsed="false">
      <c r="A10" s="2"/>
    </row>
    <row r="11" customFormat="false" ht="15" hidden="false" customHeight="false" outlineLevel="0" collapsed="false">
      <c r="A11" s="5" t="s">
        <v>13</v>
      </c>
      <c r="B11" s="6"/>
    </row>
    <row r="12" customFormat="false" ht="26.85" hidden="false" customHeight="false" outlineLevel="0" collapsed="false">
      <c r="A12" s="3" t="s">
        <v>14</v>
      </c>
      <c r="B12" s="4" t="s">
        <v>15</v>
      </c>
    </row>
    <row r="13" customFormat="false" ht="26.85" hidden="false" customHeight="false" outlineLevel="0" collapsed="false">
      <c r="A13" s="3" t="s">
        <v>16</v>
      </c>
      <c r="B13" s="4" t="s">
        <v>17</v>
      </c>
    </row>
    <row r="14" customFormat="false" ht="15" hidden="false" customHeight="false" outlineLevel="0" collapsed="false">
      <c r="A14" s="2"/>
    </row>
    <row r="15" customFormat="false" ht="26.85" hidden="false" customHeight="false" outlineLevel="0" collapsed="false">
      <c r="A15" s="3" t="s">
        <v>18</v>
      </c>
      <c r="B15" s="4" t="s">
        <v>19</v>
      </c>
    </row>
    <row r="16" customFormat="false" ht="26.85" hidden="false" customHeight="false" outlineLevel="0" collapsed="false">
      <c r="A16" s="3" t="s">
        <v>20</v>
      </c>
      <c r="B16"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8"/>
    <col collapsed="false" customWidth="true" hidden="false" outlineLevel="0" max="4" min="4" style="0" width="9"/>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4"/>
    <col collapsed="false" customWidth="true" hidden="false" outlineLevel="0" max="11" min="11" style="0" width="2"/>
    <col collapsed="false" customWidth="true" hidden="false" outlineLevel="0" max="12" min="12" style="0" width="22"/>
    <col collapsed="false" customWidth="true" hidden="false" outlineLevel="0" max="13" min="13" style="0" width="11"/>
    <col collapsed="false" customWidth="true" hidden="false" outlineLevel="0" max="17" min="15" style="0" width="12"/>
  </cols>
  <sheetData>
    <row r="1" customFormat="false" ht="15" hidden="false" customHeight="false" outlineLevel="0" collapsed="false">
      <c r="A1" s="7" t="s">
        <v>22</v>
      </c>
      <c r="O1" s="8" t="s">
        <v>23</v>
      </c>
    </row>
    <row r="2" customFormat="false" ht="45" hidden="false" customHeight="true" outlineLevel="0" collapsed="false">
      <c r="A2" s="9" t="s">
        <v>24</v>
      </c>
      <c r="B2" s="9" t="s">
        <v>25</v>
      </c>
      <c r="C2" s="9" t="s">
        <v>26</v>
      </c>
      <c r="D2" s="9" t="s">
        <v>27</v>
      </c>
      <c r="E2" s="9" t="s">
        <v>28</v>
      </c>
      <c r="F2" s="9" t="s">
        <v>29</v>
      </c>
      <c r="G2" s="9" t="s">
        <v>30</v>
      </c>
      <c r="H2" s="9" t="s">
        <v>31</v>
      </c>
      <c r="I2" s="9" t="s">
        <v>32</v>
      </c>
      <c r="J2" s="9" t="s">
        <v>33</v>
      </c>
      <c r="L2" s="10" t="s">
        <v>34</v>
      </c>
      <c r="M2" s="6"/>
      <c r="O2" s="11" t="s">
        <v>35</v>
      </c>
      <c r="P2" s="11" t="s">
        <v>36</v>
      </c>
      <c r="Q2" s="11" t="s">
        <v>37</v>
      </c>
    </row>
    <row r="3" customFormat="false" ht="15" hidden="false" customHeight="false" outlineLevel="0" collapsed="false">
      <c r="A3" s="12" t="n">
        <v>42006</v>
      </c>
      <c r="B3" s="13" t="n">
        <v>1248</v>
      </c>
      <c r="C3" s="14" t="n">
        <f aca="false">MIN(52,INT((A3-DATE(YEAR(A3),1,1))/7)+1)</f>
        <v>1</v>
      </c>
      <c r="D3" s="15" t="n">
        <v>8809</v>
      </c>
      <c r="E3" s="15" t="n">
        <v>265144</v>
      </c>
      <c r="F3" s="15" t="n">
        <v>285000</v>
      </c>
      <c r="G3" s="16" t="n">
        <f aca="false">$M$3+$M$4*B3</f>
        <v>9383.0516761144</v>
      </c>
      <c r="H3" s="17" t="n">
        <f aca="false">D3/G3</f>
        <v>0.938820365065695</v>
      </c>
      <c r="I3" s="18" t="n">
        <f aca="false">INDEX('2 Seasonal Index'!$D$3:$D$54,C3)</f>
        <v>0.914658189121246</v>
      </c>
      <c r="J3" s="16" t="n">
        <f aca="false">D3/I3</f>
        <v>9630.92016752532</v>
      </c>
      <c r="L3" s="14" t="s">
        <v>38</v>
      </c>
      <c r="M3" s="19" t="n">
        <f aca="false">INTERCEPT(D3:D419,B3:B419)</f>
        <v>10846.5499991365</v>
      </c>
      <c r="O3" s="14" t="n">
        <f aca="false">B3</f>
        <v>1248</v>
      </c>
      <c r="P3" s="16" t="n">
        <f aca="false">E3</f>
        <v>265144</v>
      </c>
      <c r="Q3" s="16" t="n">
        <f aca="false">F3</f>
        <v>285000</v>
      </c>
    </row>
    <row r="4" customFormat="false" ht="15" hidden="false" customHeight="false" outlineLevel="0" collapsed="false">
      <c r="A4" s="12" t="n">
        <v>42013</v>
      </c>
      <c r="B4" s="13" t="n">
        <v>1249</v>
      </c>
      <c r="C4" s="14" t="n">
        <f aca="false">MIN(52,INT((A4-DATE(YEAR(A4),1,1))/7)+1)</f>
        <v>2</v>
      </c>
      <c r="D4" s="15" t="n">
        <v>8875</v>
      </c>
      <c r="E4" s="15" t="n">
        <v>265144</v>
      </c>
      <c r="F4" s="15" t="n">
        <v>294000</v>
      </c>
      <c r="G4" s="16" t="n">
        <f aca="false">$M$3+$M$4*B4</f>
        <v>9381.87900117608</v>
      </c>
      <c r="H4" s="17" t="n">
        <f aca="false">D4/G4</f>
        <v>0.945972549729906</v>
      </c>
      <c r="I4" s="18" t="n">
        <f aca="false">INDEX('2 Seasonal Index'!$D$3:$D$54,C4)</f>
        <v>0.921123720796805</v>
      </c>
      <c r="J4" s="16" t="n">
        <f aca="false">D4/I4</f>
        <v>9634.97063382844</v>
      </c>
      <c r="L4" s="14" t="s">
        <v>39</v>
      </c>
      <c r="M4" s="17" t="n">
        <f aca="false">SLOPE(D3:D419,B3:B419)</f>
        <v>-1.172674938319</v>
      </c>
      <c r="O4" s="14" t="n">
        <f aca="false">B4</f>
        <v>1249</v>
      </c>
      <c r="P4" s="16" t="n">
        <f aca="false">E4</f>
        <v>265144</v>
      </c>
      <c r="Q4" s="16" t="n">
        <f aca="false">F4</f>
        <v>294000</v>
      </c>
    </row>
    <row r="5" customFormat="false" ht="15" hidden="false" customHeight="false" outlineLevel="0" collapsed="false">
      <c r="A5" s="12" t="n">
        <v>42020</v>
      </c>
      <c r="B5" s="13" t="n">
        <v>1250</v>
      </c>
      <c r="C5" s="14" t="n">
        <f aca="false">MIN(52,INT((A5-DATE(YEAR(A5),1,1))/7)+1)</f>
        <v>3</v>
      </c>
      <c r="D5" s="15" t="n">
        <v>8851</v>
      </c>
      <c r="E5" s="15" t="n">
        <v>241451</v>
      </c>
      <c r="F5" s="15" t="n">
        <v>304000</v>
      </c>
      <c r="G5" s="16" t="n">
        <f aca="false">$M$3+$M$4*B5</f>
        <v>9380.70632623776</v>
      </c>
      <c r="H5" s="17" t="n">
        <f aca="false">D5/G5</f>
        <v>0.943532362295985</v>
      </c>
      <c r="I5" s="18" t="n">
        <f aca="false">INDEX('2 Seasonal Index'!$D$3:$D$54,C5)</f>
        <v>0.932475709892495</v>
      </c>
      <c r="J5" s="16" t="n">
        <f aca="false">D5/I5</f>
        <v>9491.9362575358</v>
      </c>
      <c r="L5" s="14" t="s">
        <v>40</v>
      </c>
      <c r="M5" s="14" t="n">
        <f aca="false">COUNT(D3:D419)</f>
        <v>417</v>
      </c>
      <c r="O5" s="14" t="n">
        <f aca="false">B5</f>
        <v>1250</v>
      </c>
      <c r="P5" s="16" t="n">
        <f aca="false">E5</f>
        <v>241451</v>
      </c>
      <c r="Q5" s="16" t="n">
        <f aca="false">F5</f>
        <v>304000</v>
      </c>
    </row>
    <row r="6" customFormat="false" ht="15" hidden="false" customHeight="false" outlineLevel="0" collapsed="false">
      <c r="A6" s="12" t="n">
        <v>42027</v>
      </c>
      <c r="B6" s="13" t="n">
        <v>1251</v>
      </c>
      <c r="C6" s="14" t="n">
        <f aca="false">MIN(52,INT((A6-DATE(YEAR(A6),1,1))/7)+1)</f>
        <v>4</v>
      </c>
      <c r="D6" s="15" t="n">
        <v>9022</v>
      </c>
      <c r="E6" s="15" t="n">
        <v>241451</v>
      </c>
      <c r="F6" s="15" t="n">
        <v>298000</v>
      </c>
      <c r="G6" s="16" t="n">
        <f aca="false">$M$3+$M$4*B6</f>
        <v>9379.53365129944</v>
      </c>
      <c r="H6" s="17" t="n">
        <f aca="false">D6/G6</f>
        <v>0.961881510894744</v>
      </c>
      <c r="I6" s="18" t="n">
        <f aca="false">INDEX('2 Seasonal Index'!$D$3:$D$54,C6)</f>
        <v>0.95567024426302</v>
      </c>
      <c r="J6" s="16" t="n">
        <f aca="false">D6/I6</f>
        <v>9440.49482984317</v>
      </c>
      <c r="O6" s="14" t="n">
        <f aca="false">B6</f>
        <v>1251</v>
      </c>
      <c r="P6" s="16" t="n">
        <f aca="false">E6</f>
        <v>241451</v>
      </c>
      <c r="Q6" s="16" t="n">
        <f aca="false">F6</f>
        <v>298000</v>
      </c>
    </row>
    <row r="7" customFormat="false" ht="15" hidden="false" customHeight="false" outlineLevel="0" collapsed="false">
      <c r="A7" s="12" t="n">
        <v>42034</v>
      </c>
      <c r="B7" s="13" t="n">
        <v>1252</v>
      </c>
      <c r="C7" s="14" t="n">
        <f aca="false">MIN(52,INT((A7-DATE(YEAR(A7),1,1))/7)+1)</f>
        <v>5</v>
      </c>
      <c r="D7" s="15" t="n">
        <v>8442</v>
      </c>
      <c r="E7" s="15" t="n">
        <v>241451</v>
      </c>
      <c r="F7" s="15" t="n">
        <v>261000</v>
      </c>
      <c r="G7" s="16" t="n">
        <f aca="false">$M$3+$M$4*B7</f>
        <v>9378.36097636112</v>
      </c>
      <c r="H7" s="17" t="n">
        <f aca="false">D7/G7</f>
        <v>0.900157289880258</v>
      </c>
      <c r="I7" s="18" t="n">
        <f aca="false">INDEX('2 Seasonal Index'!$D$3:$D$54,C7)</f>
        <v>0.963785211095498</v>
      </c>
      <c r="J7" s="16" t="n">
        <f aca="false">D7/I7</f>
        <v>8759.2130516345</v>
      </c>
      <c r="L7" s="8" t="s">
        <v>41</v>
      </c>
      <c r="O7" s="14" t="n">
        <f aca="false">B7</f>
        <v>1252</v>
      </c>
      <c r="P7" s="16" t="n">
        <f aca="false">E7</f>
        <v>241451</v>
      </c>
      <c r="Q7" s="16" t="n">
        <f aca="false">F7</f>
        <v>261000</v>
      </c>
    </row>
    <row r="8" customFormat="false" ht="15" hidden="false" customHeight="false" outlineLevel="0" collapsed="false">
      <c r="A8" s="12" t="n">
        <v>42041</v>
      </c>
      <c r="B8" s="13" t="n">
        <v>1253</v>
      </c>
      <c r="C8" s="14" t="n">
        <f aca="false">MIN(52,INT((A8-DATE(YEAR(A8),1,1))/7)+1)</f>
        <v>6</v>
      </c>
      <c r="D8" s="15" t="n">
        <v>8282</v>
      </c>
      <c r="E8" s="15" t="n">
        <v>241451</v>
      </c>
      <c r="F8" s="15" t="n">
        <v>281000</v>
      </c>
      <c r="G8" s="16" t="n">
        <f aca="false">$M$3+$M$4*B8</f>
        <v>9377.1883014228</v>
      </c>
      <c r="H8" s="17" t="n">
        <f aca="false">D8/G8</f>
        <v>0.883207176157844</v>
      </c>
      <c r="I8" s="18" t="n">
        <f aca="false">INDEX('2 Seasonal Index'!$D$3:$D$54,C8)</f>
        <v>0.93990301851115</v>
      </c>
      <c r="J8" s="16" t="n">
        <f aca="false">D8/I8</f>
        <v>8811.54740104897</v>
      </c>
      <c r="O8" s="14" t="n">
        <f aca="false">B8</f>
        <v>1253</v>
      </c>
      <c r="P8" s="16" t="n">
        <f aca="false">E8</f>
        <v>241451</v>
      </c>
      <c r="Q8" s="16" t="n">
        <f aca="false">F8</f>
        <v>281000</v>
      </c>
    </row>
    <row r="9" customFormat="false" ht="15" hidden="false" customHeight="false" outlineLevel="0" collapsed="false">
      <c r="A9" s="12" t="n">
        <v>42048</v>
      </c>
      <c r="B9" s="13" t="n">
        <v>1254</v>
      </c>
      <c r="C9" s="14" t="n">
        <f aca="false">MIN(52,INT((A9-DATE(YEAR(A9),1,1))/7)+1)</f>
        <v>7</v>
      </c>
      <c r="D9" s="15" t="n">
        <v>8809</v>
      </c>
      <c r="E9" s="15" t="n">
        <v>241451</v>
      </c>
      <c r="F9" s="15" t="n">
        <v>298000</v>
      </c>
      <c r="G9" s="16" t="n">
        <f aca="false">$M$3+$M$4*B9</f>
        <v>9376.01562648448</v>
      </c>
      <c r="H9" s="17" t="n">
        <f aca="false">D9/G9</f>
        <v>0.939524884655394</v>
      </c>
      <c r="I9" s="18" t="n">
        <f aca="false">INDEX('2 Seasonal Index'!$D$3:$D$54,C9)</f>
        <v>0.963162093989007</v>
      </c>
      <c r="J9" s="16" t="n">
        <f aca="false">D9/I9</f>
        <v>9145.9164090614</v>
      </c>
      <c r="O9" s="14" t="n">
        <f aca="false">B9</f>
        <v>1254</v>
      </c>
      <c r="P9" s="16" t="n">
        <f aca="false">E9</f>
        <v>241451</v>
      </c>
      <c r="Q9" s="16" t="n">
        <f aca="false">F9</f>
        <v>298000</v>
      </c>
    </row>
    <row r="10" customFormat="false" ht="15" hidden="false" customHeight="false" outlineLevel="0" collapsed="false">
      <c r="A10" s="12" t="n">
        <v>42055</v>
      </c>
      <c r="B10" s="13" t="n">
        <v>1255</v>
      </c>
      <c r="C10" s="14" t="n">
        <f aca="false">MIN(52,INT((A10-DATE(YEAR(A10),1,1))/7)+1)</f>
        <v>8</v>
      </c>
      <c r="D10" s="15" t="n">
        <v>8915</v>
      </c>
      <c r="E10" s="15" t="n">
        <v>252271</v>
      </c>
      <c r="F10" s="15" t="n">
        <v>285000</v>
      </c>
      <c r="G10" s="16" t="n">
        <f aca="false">$M$3+$M$4*B10</f>
        <v>9374.84295154616</v>
      </c>
      <c r="H10" s="17" t="n">
        <f aca="false">D10/G10</f>
        <v>0.950949263478561</v>
      </c>
      <c r="I10" s="18" t="n">
        <f aca="false">INDEX('2 Seasonal Index'!$D$3:$D$54,C10)</f>
        <v>0.978387056473038</v>
      </c>
      <c r="J10" s="16" t="n">
        <f aca="false">D10/I10</f>
        <v>9111.9357528476</v>
      </c>
      <c r="O10" s="14" t="n">
        <f aca="false">B10</f>
        <v>1255</v>
      </c>
      <c r="P10" s="16" t="n">
        <f aca="false">E10</f>
        <v>252271</v>
      </c>
      <c r="Q10" s="16" t="n">
        <f aca="false">F10</f>
        <v>285000</v>
      </c>
    </row>
    <row r="11" customFormat="false" ht="15" hidden="false" customHeight="false" outlineLevel="0" collapsed="false">
      <c r="A11" s="12" t="n">
        <v>42062</v>
      </c>
      <c r="B11" s="13" t="n">
        <v>1256</v>
      </c>
      <c r="C11" s="14" t="n">
        <f aca="false">MIN(52,INT((A11-DATE(YEAR(A11),1,1))/7)+1)</f>
        <v>9</v>
      </c>
      <c r="D11" s="15" t="n">
        <v>8630</v>
      </c>
      <c r="E11" s="15" t="n">
        <v>252271</v>
      </c>
      <c r="F11" s="15" t="n">
        <v>305000</v>
      </c>
      <c r="G11" s="16" t="n">
        <f aca="false">$M$3+$M$4*B11</f>
        <v>9373.67027660784</v>
      </c>
      <c r="H11" s="17" t="n">
        <f aca="false">D11/G11</f>
        <v>0.920663917690418</v>
      </c>
      <c r="I11" s="18" t="n">
        <f aca="false">INDEX('2 Seasonal Index'!$D$3:$D$54,C11)</f>
        <v>0.986293676275175</v>
      </c>
      <c r="J11" s="16" t="n">
        <f aca="false">D11/I11</f>
        <v>8749.92936443834</v>
      </c>
      <c r="O11" s="14" t="n">
        <f aca="false">B11</f>
        <v>1256</v>
      </c>
      <c r="P11" s="16" t="n">
        <f aca="false">E11</f>
        <v>252271</v>
      </c>
      <c r="Q11" s="16" t="n">
        <f aca="false">F11</f>
        <v>305000</v>
      </c>
    </row>
    <row r="12" customFormat="false" ht="15" hidden="false" customHeight="false" outlineLevel="0" collapsed="false">
      <c r="A12" s="12" t="n">
        <v>42069</v>
      </c>
      <c r="B12" s="13" t="n">
        <v>1257</v>
      </c>
      <c r="C12" s="14" t="n">
        <f aca="false">MIN(52,INT((A12-DATE(YEAR(A12),1,1))/7)+1)</f>
        <v>10</v>
      </c>
      <c r="D12" s="15" t="n">
        <v>8515</v>
      </c>
      <c r="E12" s="15" t="n">
        <v>252271</v>
      </c>
      <c r="F12" s="15" t="n">
        <v>317000</v>
      </c>
      <c r="G12" s="16" t="n">
        <f aca="false">$M$3+$M$4*B12</f>
        <v>9372.49760166952</v>
      </c>
      <c r="H12" s="17" t="n">
        <f aca="false">D12/G12</f>
        <v>0.908509168194743</v>
      </c>
      <c r="I12" s="18" t="n">
        <f aca="false">INDEX('2 Seasonal Index'!$D$3:$D$54,C12)</f>
        <v>0.995274907218877</v>
      </c>
      <c r="J12" s="16" t="n">
        <f aca="false">D12/I12</f>
        <v>8555.42517774681</v>
      </c>
      <c r="O12" s="14" t="n">
        <f aca="false">B12</f>
        <v>1257</v>
      </c>
      <c r="P12" s="16" t="n">
        <f aca="false">E12</f>
        <v>252271</v>
      </c>
      <c r="Q12" s="16" t="n">
        <f aca="false">F12</f>
        <v>317000</v>
      </c>
    </row>
    <row r="13" customFormat="false" ht="15" hidden="false" customHeight="false" outlineLevel="0" collapsed="false">
      <c r="A13" s="12" t="n">
        <v>42076</v>
      </c>
      <c r="B13" s="13" t="n">
        <v>1258</v>
      </c>
      <c r="C13" s="14" t="n">
        <f aca="false">MIN(52,INT((A13-DATE(YEAR(A13),1,1))/7)+1)</f>
        <v>11</v>
      </c>
      <c r="D13" s="15" t="n">
        <v>9260</v>
      </c>
      <c r="E13" s="15" t="n">
        <v>252271</v>
      </c>
      <c r="F13" s="15" t="n">
        <v>293000</v>
      </c>
      <c r="G13" s="16" t="n">
        <f aca="false">$M$3+$M$4*B13</f>
        <v>9371.32492673121</v>
      </c>
      <c r="H13" s="17" t="n">
        <f aca="false">D13/G13</f>
        <v>0.988120684364101</v>
      </c>
      <c r="I13" s="18" t="n">
        <f aca="false">INDEX('2 Seasonal Index'!$D$3:$D$54,C13)</f>
        <v>1.00212775296089</v>
      </c>
      <c r="J13" s="16" t="n">
        <f aca="false">D13/I13</f>
        <v>9240.33884166997</v>
      </c>
      <c r="O13" s="14" t="n">
        <f aca="false">B13</f>
        <v>1258</v>
      </c>
      <c r="P13" s="16" t="n">
        <f aca="false">E13</f>
        <v>252271</v>
      </c>
      <c r="Q13" s="16" t="n">
        <f aca="false">F13</f>
        <v>293000</v>
      </c>
    </row>
    <row r="14" customFormat="false" ht="15" hidden="false" customHeight="false" outlineLevel="0" collapsed="false">
      <c r="A14" s="12" t="n">
        <v>42083</v>
      </c>
      <c r="B14" s="13" t="n">
        <v>1259</v>
      </c>
      <c r="C14" s="14" t="n">
        <f aca="false">MIN(52,INT((A14-DATE(YEAR(A14),1,1))/7)+1)</f>
        <v>12</v>
      </c>
      <c r="D14" s="15" t="n">
        <v>8619</v>
      </c>
      <c r="E14" s="15" t="n">
        <v>233498</v>
      </c>
      <c r="F14" s="15" t="n">
        <v>290000</v>
      </c>
      <c r="G14" s="16" t="n">
        <f aca="false">$M$3+$M$4*B14</f>
        <v>9370.15225179289</v>
      </c>
      <c r="H14" s="17" t="n">
        <f aca="false">D14/G14</f>
        <v>0.919835640701659</v>
      </c>
      <c r="I14" s="18" t="n">
        <f aca="false">INDEX('2 Seasonal Index'!$D$3:$D$54,C14)</f>
        <v>0.99255102448152</v>
      </c>
      <c r="J14" s="16" t="n">
        <f aca="false">D14/I14</f>
        <v>8683.68455365034</v>
      </c>
      <c r="O14" s="14" t="n">
        <f aca="false">B14</f>
        <v>1259</v>
      </c>
      <c r="P14" s="16" t="n">
        <f aca="false">E14</f>
        <v>233498</v>
      </c>
      <c r="Q14" s="16" t="n">
        <f aca="false">F14</f>
        <v>290000</v>
      </c>
    </row>
    <row r="15" customFormat="false" ht="15" hidden="false" customHeight="false" outlineLevel="0" collapsed="false">
      <c r="A15" s="12" t="n">
        <v>42090</v>
      </c>
      <c r="B15" s="13" t="n">
        <v>1260</v>
      </c>
      <c r="C15" s="14" t="n">
        <f aca="false">MIN(52,INT((A15-DATE(YEAR(A15),1,1))/7)+1)</f>
        <v>13</v>
      </c>
      <c r="D15" s="15" t="n">
        <v>9435</v>
      </c>
      <c r="E15" s="15" t="n">
        <v>233498</v>
      </c>
      <c r="F15" s="15" t="n">
        <v>284000</v>
      </c>
      <c r="G15" s="16" t="n">
        <f aca="false">$M$3+$M$4*B15</f>
        <v>9368.97957685457</v>
      </c>
      <c r="H15" s="17" t="n">
        <f aca="false">D15/G15</f>
        <v>1.00704670371025</v>
      </c>
      <c r="I15" s="18" t="n">
        <f aca="false">INDEX('2 Seasonal Index'!$D$3:$D$54,C15)</f>
        <v>1.00671990755393</v>
      </c>
      <c r="J15" s="16" t="n">
        <f aca="false">D15/I15</f>
        <v>9372.02088605219</v>
      </c>
      <c r="O15" s="14" t="n">
        <f aca="false">B15</f>
        <v>1260</v>
      </c>
      <c r="P15" s="16" t="n">
        <f aca="false">E15</f>
        <v>233498</v>
      </c>
      <c r="Q15" s="16" t="n">
        <f aca="false">F15</f>
        <v>284000</v>
      </c>
    </row>
    <row r="16" customFormat="false" ht="15" hidden="false" customHeight="false" outlineLevel="0" collapsed="false">
      <c r="A16" s="12" t="n">
        <v>42097</v>
      </c>
      <c r="B16" s="13" t="n">
        <v>1261</v>
      </c>
      <c r="C16" s="14" t="n">
        <f aca="false">MIN(52,INT((A16-DATE(YEAR(A16),1,1))/7)+1)</f>
        <v>14</v>
      </c>
      <c r="D16" s="15" t="n">
        <v>8610</v>
      </c>
      <c r="E16" s="15" t="n">
        <v>233498</v>
      </c>
      <c r="F16" s="15" t="n">
        <v>269000</v>
      </c>
      <c r="G16" s="16" t="n">
        <f aca="false">$M$3+$M$4*B16</f>
        <v>9367.80690191625</v>
      </c>
      <c r="H16" s="17" t="n">
        <f aca="false">D16/G16</f>
        <v>0.919105196141347</v>
      </c>
      <c r="I16" s="18" t="n">
        <f aca="false">INDEX('2 Seasonal Index'!$D$3:$D$54,C16)</f>
        <v>0.994713065050192</v>
      </c>
      <c r="J16" s="16" t="n">
        <f aca="false">D16/I16</f>
        <v>8655.76245303016</v>
      </c>
      <c r="O16" s="14" t="n">
        <f aca="false">B16</f>
        <v>1261</v>
      </c>
      <c r="P16" s="16" t="n">
        <f aca="false">E16</f>
        <v>233498</v>
      </c>
      <c r="Q16" s="16" t="n">
        <f aca="false">F16</f>
        <v>269000</v>
      </c>
    </row>
    <row r="17" customFormat="false" ht="15" hidden="false" customHeight="false" outlineLevel="0" collapsed="false">
      <c r="A17" s="12" t="n">
        <v>42104</v>
      </c>
      <c r="B17" s="13" t="n">
        <v>1262</v>
      </c>
      <c r="C17" s="14" t="n">
        <f aca="false">MIN(52,INT((A17-DATE(YEAR(A17),1,1))/7)+1)</f>
        <v>15</v>
      </c>
      <c r="D17" s="15" t="n">
        <v>8914</v>
      </c>
      <c r="E17" s="15" t="n">
        <v>233498</v>
      </c>
      <c r="F17" s="15" t="n">
        <v>282000</v>
      </c>
      <c r="G17" s="16" t="n">
        <f aca="false">$M$3+$M$4*B17</f>
        <v>9366.63422697793</v>
      </c>
      <c r="H17" s="17" t="n">
        <f aca="false">D17/G17</f>
        <v>0.951675893815278</v>
      </c>
      <c r="I17" s="18" t="n">
        <f aca="false">INDEX('2 Seasonal Index'!$D$3:$D$54,C17)</f>
        <v>1.00303091571571</v>
      </c>
      <c r="J17" s="16" t="n">
        <f aca="false">D17/I17</f>
        <v>8887.06405788043</v>
      </c>
      <c r="O17" s="14" t="n">
        <f aca="false">B17</f>
        <v>1262</v>
      </c>
      <c r="P17" s="16" t="n">
        <f aca="false">E17</f>
        <v>233498</v>
      </c>
      <c r="Q17" s="16" t="n">
        <f aca="false">F17</f>
        <v>282000</v>
      </c>
    </row>
    <row r="18" customFormat="false" ht="15" hidden="false" customHeight="false" outlineLevel="0" collapsed="false">
      <c r="A18" s="12" t="n">
        <v>42111</v>
      </c>
      <c r="B18" s="13" t="n">
        <v>1263</v>
      </c>
      <c r="C18" s="14" t="n">
        <f aca="false">MIN(52,INT((A18-DATE(YEAR(A18),1,1))/7)+1)</f>
        <v>16</v>
      </c>
      <c r="D18" s="15" t="n">
        <v>9185</v>
      </c>
      <c r="E18" s="15" t="n">
        <v>217220</v>
      </c>
      <c r="F18" s="15" t="n">
        <v>298000</v>
      </c>
      <c r="G18" s="16" t="n">
        <f aca="false">$M$3+$M$4*B18</f>
        <v>9365.46155203961</v>
      </c>
      <c r="H18" s="17" t="n">
        <f aca="false">D18/G18</f>
        <v>0.980731163003887</v>
      </c>
      <c r="I18" s="18" t="n">
        <f aca="false">INDEX('2 Seasonal Index'!$D$3:$D$54,C18)</f>
        <v>1.00209740802543</v>
      </c>
      <c r="J18" s="16" t="n">
        <f aca="false">D18/I18</f>
        <v>9165.77562863724</v>
      </c>
      <c r="O18" s="14" t="n">
        <f aca="false">B18</f>
        <v>1263</v>
      </c>
      <c r="P18" s="16" t="n">
        <f aca="false">E18</f>
        <v>217220</v>
      </c>
      <c r="Q18" s="16" t="n">
        <f aca="false">F18</f>
        <v>298000</v>
      </c>
    </row>
    <row r="19" customFormat="false" ht="15" hidden="false" customHeight="false" outlineLevel="0" collapsed="false">
      <c r="A19" s="12" t="n">
        <v>42118</v>
      </c>
      <c r="B19" s="13" t="n">
        <v>1264</v>
      </c>
      <c r="C19" s="14" t="n">
        <f aca="false">MIN(52,INT((A19-DATE(YEAR(A19),1,1))/7)+1)</f>
        <v>17</v>
      </c>
      <c r="D19" s="15" t="n">
        <v>8920</v>
      </c>
      <c r="E19" s="15" t="n">
        <v>217220</v>
      </c>
      <c r="F19" s="15" t="n">
        <v>295000</v>
      </c>
      <c r="G19" s="16" t="n">
        <f aca="false">$M$3+$M$4*B19</f>
        <v>9364.28887710129</v>
      </c>
      <c r="H19" s="17" t="n">
        <f aca="false">D19/G19</f>
        <v>0.95255497956842</v>
      </c>
      <c r="I19" s="18" t="n">
        <f aca="false">INDEX('2 Seasonal Index'!$D$3:$D$54,C19)</f>
        <v>0.985720009085136</v>
      </c>
      <c r="J19" s="16" t="n">
        <f aca="false">D19/I19</f>
        <v>9049.2228196512</v>
      </c>
      <c r="O19" s="14" t="n">
        <f aca="false">B19</f>
        <v>1264</v>
      </c>
      <c r="P19" s="16" t="n">
        <f aca="false">E19</f>
        <v>217220</v>
      </c>
      <c r="Q19" s="16" t="n">
        <f aca="false">F19</f>
        <v>295000</v>
      </c>
    </row>
    <row r="20" customFormat="false" ht="15" hidden="false" customHeight="false" outlineLevel="0" collapsed="false">
      <c r="A20" s="12" t="n">
        <v>42125</v>
      </c>
      <c r="B20" s="13" t="n">
        <v>1265</v>
      </c>
      <c r="C20" s="14" t="n">
        <f aca="false">MIN(52,INT((A20-DATE(YEAR(A20),1,1))/7)+1)</f>
        <v>18</v>
      </c>
      <c r="D20" s="15" t="n">
        <v>8785</v>
      </c>
      <c r="E20" s="15" t="n">
        <v>217220</v>
      </c>
      <c r="F20" s="15" t="n">
        <v>269000</v>
      </c>
      <c r="G20" s="16" t="n">
        <f aca="false">$M$3+$M$4*B20</f>
        <v>9363.11620216297</v>
      </c>
      <c r="H20" s="17" t="n">
        <f aca="false">D20/G20</f>
        <v>0.938256004765868</v>
      </c>
      <c r="I20" s="18" t="n">
        <f aca="false">INDEX('2 Seasonal Index'!$D$3:$D$54,C20)</f>
        <v>1.01814015000929</v>
      </c>
      <c r="J20" s="16" t="n">
        <f aca="false">D20/I20</f>
        <v>8628.478112684</v>
      </c>
      <c r="O20" s="14" t="n">
        <f aca="false">B20</f>
        <v>1265</v>
      </c>
      <c r="P20" s="16" t="n">
        <f aca="false">E20</f>
        <v>217220</v>
      </c>
      <c r="Q20" s="16" t="n">
        <f aca="false">F20</f>
        <v>269000</v>
      </c>
    </row>
    <row r="21" customFormat="false" ht="15" hidden="false" customHeight="false" outlineLevel="0" collapsed="false">
      <c r="A21" s="12" t="n">
        <v>42132</v>
      </c>
      <c r="B21" s="13" t="n">
        <v>1266</v>
      </c>
      <c r="C21" s="14" t="n">
        <f aca="false">MIN(52,INT((A21-DATE(YEAR(A21),1,1))/7)+1)</f>
        <v>19</v>
      </c>
      <c r="D21" s="15" t="n">
        <v>9201</v>
      </c>
      <c r="E21" s="15" t="n">
        <v>217220</v>
      </c>
      <c r="F21" s="15" t="n">
        <v>267000</v>
      </c>
      <c r="G21" s="16" t="n">
        <f aca="false">$M$3+$M$4*B21</f>
        <v>9361.94352722465</v>
      </c>
      <c r="H21" s="17" t="n">
        <f aca="false">D21/G21</f>
        <v>0.982808748337711</v>
      </c>
      <c r="I21" s="18" t="n">
        <f aca="false">INDEX('2 Seasonal Index'!$D$3:$D$54,C21)</f>
        <v>1.01337123918897</v>
      </c>
      <c r="J21" s="16" t="n">
        <f aca="false">D21/I21</f>
        <v>9079.59456927538</v>
      </c>
      <c r="O21" s="14" t="n">
        <f aca="false">B21</f>
        <v>1266</v>
      </c>
      <c r="P21" s="16" t="n">
        <f aca="false">E21</f>
        <v>217220</v>
      </c>
      <c r="Q21" s="16" t="n">
        <f aca="false">F21</f>
        <v>267000</v>
      </c>
    </row>
    <row r="22" customFormat="false" ht="15" hidden="false" customHeight="false" outlineLevel="0" collapsed="false">
      <c r="A22" s="12" t="n">
        <v>42139</v>
      </c>
      <c r="B22" s="13" t="n">
        <v>1267</v>
      </c>
      <c r="C22" s="14" t="n">
        <f aca="false">MIN(52,INT((A22-DATE(YEAR(A22),1,1))/7)+1)</f>
        <v>20</v>
      </c>
      <c r="D22" s="15" t="n">
        <v>9261</v>
      </c>
      <c r="E22" s="15" t="n">
        <v>217220</v>
      </c>
      <c r="F22" s="15" t="n">
        <v>271000</v>
      </c>
      <c r="G22" s="16" t="n">
        <f aca="false">$M$3+$M$4*B22</f>
        <v>9360.77085228633</v>
      </c>
      <c r="H22" s="17" t="n">
        <f aca="false">D22/G22</f>
        <v>0.989341598693022</v>
      </c>
      <c r="I22" s="18" t="n">
        <f aca="false">INDEX('2 Seasonal Index'!$D$3:$D$54,C22)</f>
        <v>1.03551191118317</v>
      </c>
      <c r="J22" s="16" t="n">
        <f aca="false">D22/I22</f>
        <v>8943.40267840904</v>
      </c>
      <c r="O22" s="14" t="n">
        <f aca="false">B22</f>
        <v>1267</v>
      </c>
      <c r="P22" s="16" t="n">
        <f aca="false">E22</f>
        <v>217220</v>
      </c>
      <c r="Q22" s="16" t="n">
        <f aca="false">F22</f>
        <v>271000</v>
      </c>
    </row>
    <row r="23" customFormat="false" ht="15" hidden="false" customHeight="false" outlineLevel="0" collapsed="false">
      <c r="A23" s="12" t="n">
        <v>42146</v>
      </c>
      <c r="B23" s="13" t="n">
        <v>1268</v>
      </c>
      <c r="C23" s="14" t="n">
        <f aca="false">MIN(52,INT((A23-DATE(YEAR(A23),1,1))/7)+1)</f>
        <v>21</v>
      </c>
      <c r="D23" s="15" t="n">
        <v>9734</v>
      </c>
      <c r="E23" s="15" t="n">
        <v>258017</v>
      </c>
      <c r="F23" s="15" t="n">
        <v>276000</v>
      </c>
      <c r="G23" s="16" t="n">
        <f aca="false">$M$3+$M$4*B23</f>
        <v>9359.59817734802</v>
      </c>
      <c r="H23" s="17" t="n">
        <f aca="false">D23/G23</f>
        <v>1.04000191200068</v>
      </c>
      <c r="I23" s="18" t="n">
        <f aca="false">INDEX('2 Seasonal Index'!$D$3:$D$54,C23)</f>
        <v>1.0352245807811</v>
      </c>
      <c r="J23" s="16" t="n">
        <f aca="false">D23/I23</f>
        <v>9402.79064148137</v>
      </c>
      <c r="O23" s="14" t="n">
        <f aca="false">B23</f>
        <v>1268</v>
      </c>
      <c r="P23" s="16" t="n">
        <f aca="false">E23</f>
        <v>258017</v>
      </c>
      <c r="Q23" s="16" t="n">
        <f aca="false">F23</f>
        <v>276000</v>
      </c>
    </row>
    <row r="24" customFormat="false" ht="15" hidden="false" customHeight="false" outlineLevel="0" collapsed="false">
      <c r="A24" s="12" t="n">
        <v>42153</v>
      </c>
      <c r="B24" s="13" t="n">
        <v>1269</v>
      </c>
      <c r="C24" s="14" t="n">
        <f aca="false">MIN(52,INT((A24-DATE(YEAR(A24),1,1))/7)+1)</f>
        <v>22</v>
      </c>
      <c r="D24" s="15" t="n">
        <v>8978</v>
      </c>
      <c r="E24" s="15" t="n">
        <v>258017</v>
      </c>
      <c r="F24" s="15" t="n">
        <v>281000</v>
      </c>
      <c r="G24" s="16" t="n">
        <f aca="false">$M$3+$M$4*B24</f>
        <v>9358.4255024097</v>
      </c>
      <c r="H24" s="17" t="n">
        <f aca="false">D24/G24</f>
        <v>0.959349411681298</v>
      </c>
      <c r="I24" s="18" t="n">
        <f aca="false">INDEX('2 Seasonal Index'!$D$3:$D$54,C24)</f>
        <v>1.01397917017061</v>
      </c>
      <c r="J24" s="16" t="n">
        <f aca="false">D24/I24</f>
        <v>8854.22527810839</v>
      </c>
      <c r="O24" s="14" t="n">
        <f aca="false">B24</f>
        <v>1269</v>
      </c>
      <c r="P24" s="16" t="n">
        <f aca="false">E24</f>
        <v>258017</v>
      </c>
      <c r="Q24" s="16" t="n">
        <f aca="false">F24</f>
        <v>281000</v>
      </c>
    </row>
    <row r="25" customFormat="false" ht="15" hidden="false" customHeight="false" outlineLevel="0" collapsed="false">
      <c r="A25" s="12" t="n">
        <v>42160</v>
      </c>
      <c r="B25" s="13" t="n">
        <v>1270</v>
      </c>
      <c r="C25" s="14" t="n">
        <f aca="false">MIN(52,INT((A25-DATE(YEAR(A25),1,1))/7)+1)</f>
        <v>23</v>
      </c>
      <c r="D25" s="15" t="n">
        <v>9600</v>
      </c>
      <c r="E25" s="15" t="n">
        <v>258017</v>
      </c>
      <c r="F25" s="15" t="n">
        <v>275000</v>
      </c>
      <c r="G25" s="16" t="n">
        <f aca="false">$M$3+$M$4*B25</f>
        <v>9357.25282747138</v>
      </c>
      <c r="H25" s="17" t="n">
        <f aca="false">D25/G25</f>
        <v>1.02594214103267</v>
      </c>
      <c r="I25" s="18" t="n">
        <f aca="false">INDEX('2 Seasonal Index'!$D$3:$D$54,C25)</f>
        <v>1.03755973679196</v>
      </c>
      <c r="J25" s="16" t="n">
        <f aca="false">D25/I25</f>
        <v>9252.47931235491</v>
      </c>
      <c r="O25" s="14" t="n">
        <f aca="false">B25</f>
        <v>1270</v>
      </c>
      <c r="P25" s="16" t="n">
        <f aca="false">E25</f>
        <v>258017</v>
      </c>
      <c r="Q25" s="16" t="n">
        <f aca="false">F25</f>
        <v>275000</v>
      </c>
    </row>
    <row r="26" customFormat="false" ht="15" hidden="false" customHeight="false" outlineLevel="0" collapsed="false">
      <c r="A26" s="12" t="n">
        <v>42167</v>
      </c>
      <c r="B26" s="13" t="n">
        <v>1271</v>
      </c>
      <c r="C26" s="14" t="n">
        <f aca="false">MIN(52,INT((A26-DATE(YEAR(A26),1,1))/7)+1)</f>
        <v>24</v>
      </c>
      <c r="D26" s="15" t="n">
        <v>9176</v>
      </c>
      <c r="E26" s="15" t="n">
        <v>258017</v>
      </c>
      <c r="F26" s="15" t="n">
        <v>278000</v>
      </c>
      <c r="G26" s="16" t="n">
        <f aca="false">$M$3+$M$4*B26</f>
        <v>9356.08015253306</v>
      </c>
      <c r="H26" s="17" t="n">
        <f aca="false">D26/G26</f>
        <v>0.980752606904046</v>
      </c>
      <c r="I26" s="18" t="n">
        <f aca="false">INDEX('2 Seasonal Index'!$D$3:$D$54,C26)</f>
        <v>1.03445132468082</v>
      </c>
      <c r="J26" s="16" t="n">
        <f aca="false">D26/I26</f>
        <v>8870.40287065345</v>
      </c>
      <c r="O26" s="14" t="n">
        <f aca="false">B26</f>
        <v>1271</v>
      </c>
      <c r="P26" s="16" t="n">
        <f aca="false">E26</f>
        <v>258017</v>
      </c>
      <c r="Q26" s="16" t="n">
        <f aca="false">F26</f>
        <v>278000</v>
      </c>
    </row>
    <row r="27" customFormat="false" ht="15" hidden="false" customHeight="false" outlineLevel="0" collapsed="false">
      <c r="A27" s="12" t="n">
        <v>42174</v>
      </c>
      <c r="B27" s="13" t="n">
        <v>1272</v>
      </c>
      <c r="C27" s="14" t="n">
        <f aca="false">MIN(52,INT((A27-DATE(YEAR(A27),1,1))/7)+1)</f>
        <v>25</v>
      </c>
      <c r="D27" s="15" t="n">
        <v>9655</v>
      </c>
      <c r="E27" s="15" t="n">
        <v>262817</v>
      </c>
      <c r="F27" s="15" t="n">
        <v>269000</v>
      </c>
      <c r="G27" s="16" t="n">
        <f aca="false">$M$3+$M$4*B27</f>
        <v>9354.90747759474</v>
      </c>
      <c r="H27" s="17" t="n">
        <f aca="false">D27/G27</f>
        <v>1.03207862003168</v>
      </c>
      <c r="I27" s="18" t="n">
        <f aca="false">INDEX('2 Seasonal Index'!$D$3:$D$54,C27)</f>
        <v>1.03606069309931</v>
      </c>
      <c r="J27" s="16" t="n">
        <f aca="false">D27/I27</f>
        <v>9318.95212732924</v>
      </c>
      <c r="O27" s="14" t="n">
        <f aca="false">B27</f>
        <v>1272</v>
      </c>
      <c r="P27" s="16" t="n">
        <f aca="false">E27</f>
        <v>262817</v>
      </c>
      <c r="Q27" s="16" t="n">
        <f aca="false">F27</f>
        <v>269000</v>
      </c>
    </row>
    <row r="28" customFormat="false" ht="15" hidden="false" customHeight="false" outlineLevel="0" collapsed="false">
      <c r="A28" s="12" t="n">
        <v>42181</v>
      </c>
      <c r="B28" s="13" t="n">
        <v>1273</v>
      </c>
      <c r="C28" s="14" t="n">
        <f aca="false">MIN(52,INT((A28-DATE(YEAR(A28),1,1))/7)+1)</f>
        <v>26</v>
      </c>
      <c r="D28" s="15" t="n">
        <v>9731</v>
      </c>
      <c r="E28" s="15" t="n">
        <v>262817</v>
      </c>
      <c r="F28" s="15" t="n">
        <v>273000</v>
      </c>
      <c r="G28" s="16" t="n">
        <f aca="false">$M$3+$M$4*B28</f>
        <v>9353.73480265642</v>
      </c>
      <c r="H28" s="17" t="n">
        <f aca="false">D28/G28</f>
        <v>1.04033310814376</v>
      </c>
      <c r="I28" s="18" t="n">
        <f aca="false">INDEX('2 Seasonal Index'!$D$3:$D$54,C28)</f>
        <v>1.05775104170879</v>
      </c>
      <c r="J28" s="16" t="n">
        <f aca="false">D28/I28</f>
        <v>9199.70731891656</v>
      </c>
      <c r="O28" s="14" t="n">
        <f aca="false">B28</f>
        <v>1273</v>
      </c>
      <c r="P28" s="16" t="n">
        <f aca="false">E28</f>
        <v>262817</v>
      </c>
      <c r="Q28" s="16" t="n">
        <f aca="false">F28</f>
        <v>273000</v>
      </c>
    </row>
    <row r="29" customFormat="false" ht="15" hidden="false" customHeight="false" outlineLevel="0" collapsed="false">
      <c r="A29" s="12" t="n">
        <v>42188</v>
      </c>
      <c r="B29" s="13" t="n">
        <v>1274</v>
      </c>
      <c r="C29" s="14" t="n">
        <f aca="false">MIN(52,INT((A29-DATE(YEAR(A29),1,1))/7)+1)</f>
        <v>27</v>
      </c>
      <c r="D29" s="15" t="n">
        <v>9532</v>
      </c>
      <c r="E29" s="15" t="n">
        <v>262817</v>
      </c>
      <c r="F29" s="15" t="n">
        <v>275000</v>
      </c>
      <c r="G29" s="16" t="n">
        <f aca="false">$M$3+$M$4*B29</f>
        <v>9352.5621277181</v>
      </c>
      <c r="H29" s="17" t="n">
        <f aca="false">D29/G29</f>
        <v>1.01918595886683</v>
      </c>
      <c r="I29" s="18" t="n">
        <f aca="false">INDEX('2 Seasonal Index'!$D$3:$D$54,C29)</f>
        <v>1.02126188503389</v>
      </c>
      <c r="J29" s="16" t="n">
        <f aca="false">D29/I29</f>
        <v>9333.55110935499</v>
      </c>
      <c r="O29" s="14" t="n">
        <f aca="false">B29</f>
        <v>1274</v>
      </c>
      <c r="P29" s="16" t="n">
        <f aca="false">E29</f>
        <v>262817</v>
      </c>
      <c r="Q29" s="16" t="n">
        <f aca="false">F29</f>
        <v>275000</v>
      </c>
    </row>
    <row r="30" customFormat="false" ht="15" hidden="false" customHeight="false" outlineLevel="0" collapsed="false">
      <c r="A30" s="12" t="n">
        <v>42195</v>
      </c>
      <c r="B30" s="13" t="n">
        <v>1275</v>
      </c>
      <c r="C30" s="14" t="n">
        <f aca="false">MIN(52,INT((A30-DATE(YEAR(A30),1,1))/7)+1)</f>
        <v>28</v>
      </c>
      <c r="D30" s="15" t="n">
        <v>9404</v>
      </c>
      <c r="E30" s="15" t="n">
        <v>262817</v>
      </c>
      <c r="F30" s="15" t="n">
        <v>292000</v>
      </c>
      <c r="G30" s="16" t="n">
        <f aca="false">$M$3+$M$4*B30</f>
        <v>9351.38945277978</v>
      </c>
      <c r="H30" s="17" t="n">
        <f aca="false">D30/G30</f>
        <v>1.00562596045068</v>
      </c>
      <c r="I30" s="18" t="n">
        <f aca="false">INDEX('2 Seasonal Index'!$D$3:$D$54,C30)</f>
        <v>1.01350902481598</v>
      </c>
      <c r="J30" s="16" t="n">
        <f aca="false">D30/I30</f>
        <v>9278.6544270856</v>
      </c>
      <c r="O30" s="14" t="n">
        <f aca="false">B30</f>
        <v>1275</v>
      </c>
      <c r="P30" s="16" t="n">
        <f aca="false">E30</f>
        <v>262817</v>
      </c>
      <c r="Q30" s="16" t="n">
        <f aca="false">F30</f>
        <v>292000</v>
      </c>
    </row>
    <row r="31" customFormat="false" ht="15" hidden="false" customHeight="false" outlineLevel="0" collapsed="false">
      <c r="A31" s="12" t="n">
        <v>42202</v>
      </c>
      <c r="B31" s="13" t="n">
        <v>1276</v>
      </c>
      <c r="C31" s="14" t="n">
        <f aca="false">MIN(52,INT((A31-DATE(YEAR(A31),1,1))/7)+1)</f>
        <v>29</v>
      </c>
      <c r="D31" s="15" t="n">
        <v>9749</v>
      </c>
      <c r="E31" s="15" t="n">
        <v>270839</v>
      </c>
      <c r="F31" s="15" t="n">
        <v>285000</v>
      </c>
      <c r="G31" s="16" t="n">
        <f aca="false">$M$3+$M$4*B31</f>
        <v>9350.21677784146</v>
      </c>
      <c r="H31" s="17" t="n">
        <f aca="false">D31/G31</f>
        <v>1.04264962317276</v>
      </c>
      <c r="I31" s="18" t="n">
        <f aca="false">INDEX('2 Seasonal Index'!$D$3:$D$54,C31)</f>
        <v>1.05195667886475</v>
      </c>
      <c r="J31" s="16" t="n">
        <f aca="false">D31/I31</f>
        <v>9267.49189949617</v>
      </c>
      <c r="O31" s="14" t="n">
        <f aca="false">B31</f>
        <v>1276</v>
      </c>
      <c r="P31" s="16" t="n">
        <f aca="false">E31</f>
        <v>270839</v>
      </c>
      <c r="Q31" s="16" t="n">
        <f aca="false">F31</f>
        <v>285000</v>
      </c>
    </row>
    <row r="32" customFormat="false" ht="15" hidden="false" customHeight="false" outlineLevel="0" collapsed="false">
      <c r="A32" s="12" t="n">
        <v>42209</v>
      </c>
      <c r="B32" s="13" t="n">
        <v>1277</v>
      </c>
      <c r="C32" s="14" t="n">
        <f aca="false">MIN(52,INT((A32-DATE(YEAR(A32),1,1))/7)+1)</f>
        <v>30</v>
      </c>
      <c r="D32" s="15" t="n">
        <v>9339</v>
      </c>
      <c r="E32" s="15" t="n">
        <v>270839</v>
      </c>
      <c r="F32" s="15" t="n">
        <v>265000</v>
      </c>
      <c r="G32" s="16" t="n">
        <f aca="false">$M$3+$M$4*B32</f>
        <v>9349.04410290314</v>
      </c>
      <c r="H32" s="17" t="n">
        <f aca="false">D32/G32</f>
        <v>0.998925654559697</v>
      </c>
      <c r="I32" s="18" t="n">
        <f aca="false">INDEX('2 Seasonal Index'!$D$3:$D$54,C32)</f>
        <v>1.03171304153628</v>
      </c>
      <c r="J32" s="16" t="n">
        <f aca="false">D32/I32</f>
        <v>9051.93559063061</v>
      </c>
      <c r="O32" s="14" t="n">
        <f aca="false">B32</f>
        <v>1277</v>
      </c>
      <c r="P32" s="16" t="n">
        <f aca="false">E32</f>
        <v>270839</v>
      </c>
      <c r="Q32" s="16" t="n">
        <f aca="false">F32</f>
        <v>265000</v>
      </c>
    </row>
    <row r="33" customFormat="false" ht="15" hidden="false" customHeight="false" outlineLevel="0" collapsed="false">
      <c r="A33" s="12" t="n">
        <v>42216</v>
      </c>
      <c r="B33" s="13" t="n">
        <v>1278</v>
      </c>
      <c r="C33" s="14" t="n">
        <f aca="false">MIN(52,INT((A33-DATE(YEAR(A33),1,1))/7)+1)</f>
        <v>31</v>
      </c>
      <c r="D33" s="15" t="n">
        <v>9687</v>
      </c>
      <c r="E33" s="15" t="n">
        <v>270839</v>
      </c>
      <c r="F33" s="15" t="n">
        <v>269000</v>
      </c>
      <c r="G33" s="16" t="n">
        <f aca="false">$M$3+$M$4*B33</f>
        <v>9347.87142796483</v>
      </c>
      <c r="H33" s="17" t="n">
        <f aca="false">D33/G33</f>
        <v>1.03627869452939</v>
      </c>
      <c r="I33" s="18" t="n">
        <f aca="false">INDEX('2 Seasonal Index'!$D$3:$D$54,C33)</f>
        <v>1.03997322006122</v>
      </c>
      <c r="J33" s="16" t="n">
        <f aca="false">D33/I33</f>
        <v>9314.66292894519</v>
      </c>
      <c r="O33" s="14" t="n">
        <f aca="false">B33</f>
        <v>1278</v>
      </c>
      <c r="P33" s="16" t="n">
        <f aca="false">E33</f>
        <v>270839</v>
      </c>
      <c r="Q33" s="16" t="n">
        <f aca="false">F33</f>
        <v>269000</v>
      </c>
    </row>
    <row r="34" customFormat="false" ht="15" hidden="false" customHeight="false" outlineLevel="0" collapsed="false">
      <c r="A34" s="12" t="n">
        <v>42223</v>
      </c>
      <c r="B34" s="13" t="n">
        <v>1279</v>
      </c>
      <c r="C34" s="14" t="n">
        <f aca="false">MIN(52,INT((A34-DATE(YEAR(A34),1,1))/7)+1)</f>
        <v>32</v>
      </c>
      <c r="D34" s="15" t="n">
        <v>9686</v>
      </c>
      <c r="E34" s="15" t="n">
        <v>270839</v>
      </c>
      <c r="F34" s="15" t="n">
        <v>270000</v>
      </c>
      <c r="G34" s="16" t="n">
        <f aca="false">$M$3+$M$4*B34</f>
        <v>9346.69875302651</v>
      </c>
      <c r="H34" s="17" t="n">
        <f aca="false">D34/G34</f>
        <v>1.03630172063303</v>
      </c>
      <c r="I34" s="18" t="n">
        <f aca="false">INDEX('2 Seasonal Index'!$D$3:$D$54,C34)</f>
        <v>1.04061693174176</v>
      </c>
      <c r="J34" s="16" t="n">
        <f aca="false">D34/I34</f>
        <v>9307.9400349443</v>
      </c>
      <c r="O34" s="14" t="n">
        <f aca="false">B34</f>
        <v>1279</v>
      </c>
      <c r="P34" s="16" t="n">
        <f aca="false">E34</f>
        <v>270839</v>
      </c>
      <c r="Q34" s="16" t="n">
        <f aca="false">F34</f>
        <v>270000</v>
      </c>
    </row>
    <row r="35" customFormat="false" ht="15" hidden="false" customHeight="false" outlineLevel="0" collapsed="false">
      <c r="A35" s="12" t="n">
        <v>42230</v>
      </c>
      <c r="B35" s="13" t="n">
        <v>1280</v>
      </c>
      <c r="C35" s="14" t="n">
        <f aca="false">MIN(52,INT((A35-DATE(YEAR(A35),1,1))/7)+1)</f>
        <v>33</v>
      </c>
      <c r="D35" s="15" t="n">
        <v>9705</v>
      </c>
      <c r="E35" s="15" t="n">
        <v>270839</v>
      </c>
      <c r="F35" s="15" t="n">
        <v>274000</v>
      </c>
      <c r="G35" s="16" t="n">
        <f aca="false">$M$3+$M$4*B35</f>
        <v>9345.52607808819</v>
      </c>
      <c r="H35" s="17" t="n">
        <f aca="false">D35/G35</f>
        <v>1.0384648139557</v>
      </c>
      <c r="I35" s="18" t="n">
        <f aca="false">INDEX('2 Seasonal Index'!$D$3:$D$54,C35)</f>
        <v>1.02747806583438</v>
      </c>
      <c r="J35" s="16" t="n">
        <f aca="false">D35/I35</f>
        <v>9445.45710775724</v>
      </c>
      <c r="O35" s="14" t="n">
        <f aca="false">B35</f>
        <v>1280</v>
      </c>
      <c r="P35" s="16" t="n">
        <f aca="false">E35</f>
        <v>270839</v>
      </c>
      <c r="Q35" s="16" t="n">
        <f aca="false">F35</f>
        <v>274000</v>
      </c>
    </row>
    <row r="36" customFormat="false" ht="15" hidden="false" customHeight="false" outlineLevel="0" collapsed="false">
      <c r="A36" s="12" t="n">
        <v>42237</v>
      </c>
      <c r="B36" s="13" t="n">
        <v>1281</v>
      </c>
      <c r="C36" s="14" t="n">
        <f aca="false">MIN(52,INT((A36-DATE(YEAR(A36),1,1))/7)+1)</f>
        <v>34</v>
      </c>
      <c r="D36" s="15" t="n">
        <v>9189</v>
      </c>
      <c r="E36" s="15" t="n">
        <v>270574</v>
      </c>
      <c r="F36" s="15" t="n">
        <v>279000</v>
      </c>
      <c r="G36" s="16" t="n">
        <f aca="false">$M$3+$M$4*B36</f>
        <v>9344.35340314987</v>
      </c>
      <c r="H36" s="17" t="n">
        <f aca="false">D36/G36</f>
        <v>0.983374622464782</v>
      </c>
      <c r="I36" s="18" t="n">
        <f aca="false">INDEX('2 Seasonal Index'!$D$3:$D$54,C36)</f>
        <v>1.03816398467415</v>
      </c>
      <c r="J36" s="16" t="n">
        <f aca="false">D36/I36</f>
        <v>8851.20283081694</v>
      </c>
      <c r="O36" s="14" t="n">
        <f aca="false">B36</f>
        <v>1281</v>
      </c>
      <c r="P36" s="16" t="n">
        <f aca="false">E36</f>
        <v>270574</v>
      </c>
      <c r="Q36" s="16" t="n">
        <f aca="false">F36</f>
        <v>279000</v>
      </c>
    </row>
    <row r="37" customFormat="false" ht="15" hidden="false" customHeight="false" outlineLevel="0" collapsed="false">
      <c r="A37" s="12" t="n">
        <v>42244</v>
      </c>
      <c r="B37" s="13" t="n">
        <v>1282</v>
      </c>
      <c r="C37" s="14" t="n">
        <f aca="false">MIN(52,INT((A37-DATE(YEAR(A37),1,1))/7)+1)</f>
        <v>35</v>
      </c>
      <c r="D37" s="15" t="n">
        <v>9438</v>
      </c>
      <c r="E37" s="15" t="n">
        <v>270574</v>
      </c>
      <c r="F37" s="15" t="n">
        <v>274000</v>
      </c>
      <c r="G37" s="16" t="n">
        <f aca="false">$M$3+$M$4*B37</f>
        <v>9343.18072821155</v>
      </c>
      <c r="H37" s="17" t="n">
        <f aca="false">D37/G37</f>
        <v>1.01014850023206</v>
      </c>
      <c r="I37" s="18" t="n">
        <f aca="false">INDEX('2 Seasonal Index'!$D$3:$D$54,C37)</f>
        <v>1.02246595866814</v>
      </c>
      <c r="J37" s="16" t="n">
        <f aca="false">D37/I37</f>
        <v>9230.62515674743</v>
      </c>
      <c r="O37" s="14" t="n">
        <f aca="false">B37</f>
        <v>1282</v>
      </c>
      <c r="P37" s="16" t="n">
        <f aca="false">E37</f>
        <v>270574</v>
      </c>
      <c r="Q37" s="16" t="n">
        <f aca="false">F37</f>
        <v>274000</v>
      </c>
    </row>
    <row r="38" customFormat="false" ht="15" hidden="false" customHeight="false" outlineLevel="0" collapsed="false">
      <c r="A38" s="12" t="n">
        <v>42251</v>
      </c>
      <c r="B38" s="13" t="n">
        <v>1283</v>
      </c>
      <c r="C38" s="14" t="n">
        <f aca="false">MIN(52,INT((A38-DATE(YEAR(A38),1,1))/7)+1)</f>
        <v>36</v>
      </c>
      <c r="D38" s="15" t="n">
        <v>9017</v>
      </c>
      <c r="E38" s="15" t="n">
        <v>270574</v>
      </c>
      <c r="F38" s="15" t="n">
        <v>279000</v>
      </c>
      <c r="G38" s="16" t="n">
        <f aca="false">$M$3+$M$4*B38</f>
        <v>9342.00805327323</v>
      </c>
      <c r="H38" s="17" t="n">
        <f aca="false">D38/G38</f>
        <v>0.965210043555962</v>
      </c>
      <c r="I38" s="18" t="n">
        <f aca="false">INDEX('2 Seasonal Index'!$D$3:$D$54,C38)</f>
        <v>1.00361083828068</v>
      </c>
      <c r="J38" s="16" t="n">
        <f aca="false">D38/I38</f>
        <v>8984.55821326858</v>
      </c>
      <c r="O38" s="14" t="n">
        <f aca="false">B38</f>
        <v>1283</v>
      </c>
      <c r="P38" s="16" t="n">
        <f aca="false">E38</f>
        <v>270574</v>
      </c>
      <c r="Q38" s="16" t="n">
        <f aca="false">F38</f>
        <v>279000</v>
      </c>
    </row>
    <row r="39" customFormat="false" ht="15" hidden="false" customHeight="false" outlineLevel="0" collapsed="false">
      <c r="A39" s="12" t="n">
        <v>42258</v>
      </c>
      <c r="B39" s="13" t="n">
        <v>1284</v>
      </c>
      <c r="C39" s="14" t="n">
        <f aca="false">MIN(52,INT((A39-DATE(YEAR(A39),1,1))/7)+1)</f>
        <v>37</v>
      </c>
      <c r="D39" s="15" t="n">
        <v>8983</v>
      </c>
      <c r="E39" s="15" t="n">
        <v>270574</v>
      </c>
      <c r="F39" s="15" t="n">
        <v>273000</v>
      </c>
      <c r="G39" s="16" t="n">
        <f aca="false">$M$3+$M$4*B39</f>
        <v>9340.83537833491</v>
      </c>
      <c r="H39" s="17" t="n">
        <f aca="false">D39/G39</f>
        <v>0.961691287359065</v>
      </c>
      <c r="I39" s="18" t="n">
        <f aca="false">INDEX('2 Seasonal Index'!$D$3:$D$54,C39)</f>
        <v>0.988109440121203</v>
      </c>
      <c r="J39" s="16" t="n">
        <f aca="false">D39/I39</f>
        <v>9091.09824808285</v>
      </c>
      <c r="O39" s="14" t="n">
        <f aca="false">B39</f>
        <v>1284</v>
      </c>
      <c r="P39" s="16" t="n">
        <f aca="false">E39</f>
        <v>270574</v>
      </c>
      <c r="Q39" s="16" t="n">
        <f aca="false">F39</f>
        <v>273000</v>
      </c>
    </row>
    <row r="40" customFormat="false" ht="15" hidden="false" customHeight="false" outlineLevel="0" collapsed="false">
      <c r="A40" s="12" t="n">
        <v>42265</v>
      </c>
      <c r="B40" s="13" t="n">
        <v>1285</v>
      </c>
      <c r="C40" s="14" t="n">
        <f aca="false">MIN(52,INT((A40-DATE(YEAR(A40),1,1))/7)+1)</f>
        <v>38</v>
      </c>
      <c r="D40" s="15" t="n">
        <v>9215</v>
      </c>
      <c r="E40" s="15" t="n">
        <v>278372</v>
      </c>
      <c r="F40" s="15" t="n">
        <v>264000</v>
      </c>
      <c r="G40" s="16" t="n">
        <f aca="false">$M$3+$M$4*B40</f>
        <v>9339.66270339659</v>
      </c>
      <c r="H40" s="17" t="n">
        <f aca="false">D40/G40</f>
        <v>0.98665233345619</v>
      </c>
      <c r="I40" s="18" t="n">
        <f aca="false">INDEX('2 Seasonal Index'!$D$3:$D$54,C40)</f>
        <v>1.00996081852754</v>
      </c>
      <c r="J40" s="16" t="n">
        <f aca="false">D40/I40</f>
        <v>9124.11633298303</v>
      </c>
      <c r="O40" s="14" t="n">
        <f aca="false">B40</f>
        <v>1285</v>
      </c>
      <c r="P40" s="16" t="n">
        <f aca="false">E40</f>
        <v>278372</v>
      </c>
      <c r="Q40" s="16" t="n">
        <f aca="false">F40</f>
        <v>264000</v>
      </c>
    </row>
    <row r="41" customFormat="false" ht="15" hidden="false" customHeight="false" outlineLevel="0" collapsed="false">
      <c r="A41" s="12" t="n">
        <v>42272</v>
      </c>
      <c r="B41" s="13" t="n">
        <v>1286</v>
      </c>
      <c r="C41" s="14" t="n">
        <f aca="false">MIN(52,INT((A41-DATE(YEAR(A41),1,1))/7)+1)</f>
        <v>39</v>
      </c>
      <c r="D41" s="15" t="n">
        <v>9021</v>
      </c>
      <c r="E41" s="15" t="n">
        <v>278372</v>
      </c>
      <c r="F41" s="15" t="n">
        <v>269000</v>
      </c>
      <c r="G41" s="16" t="n">
        <f aca="false">$M$3+$M$4*B41</f>
        <v>9338.49002845827</v>
      </c>
      <c r="H41" s="17" t="n">
        <f aca="false">D41/G41</f>
        <v>0.966001995237908</v>
      </c>
      <c r="I41" s="18" t="n">
        <f aca="false">INDEX('2 Seasonal Index'!$D$3:$D$54,C41)</f>
        <v>0.982712197281613</v>
      </c>
      <c r="J41" s="16" t="n">
        <f aca="false">D41/I41</f>
        <v>9179.69678706947</v>
      </c>
      <c r="O41" s="14" t="n">
        <f aca="false">B41</f>
        <v>1286</v>
      </c>
      <c r="P41" s="16" t="n">
        <f aca="false">E41</f>
        <v>278372</v>
      </c>
      <c r="Q41" s="16" t="n">
        <f aca="false">F41</f>
        <v>269000</v>
      </c>
    </row>
    <row r="42" customFormat="false" ht="15" hidden="false" customHeight="false" outlineLevel="0" collapsed="false">
      <c r="A42" s="12" t="n">
        <v>42279</v>
      </c>
      <c r="B42" s="13" t="n">
        <v>1287</v>
      </c>
      <c r="C42" s="14" t="n">
        <f aca="false">MIN(52,INT((A42-DATE(YEAR(A42),1,1))/7)+1)</f>
        <v>40</v>
      </c>
      <c r="D42" s="15" t="n">
        <v>8958</v>
      </c>
      <c r="E42" s="15" t="n">
        <v>278372</v>
      </c>
      <c r="F42" s="15" t="n">
        <v>272000</v>
      </c>
      <c r="G42" s="16" t="n">
        <f aca="false">$M$3+$M$4*B42</f>
        <v>9337.31735351996</v>
      </c>
      <c r="H42" s="17" t="n">
        <f aca="false">D42/G42</f>
        <v>0.959376195628934</v>
      </c>
      <c r="I42" s="18" t="n">
        <f aca="false">INDEX('2 Seasonal Index'!$D$3:$D$54,C42)</f>
        <v>1.0036663428041</v>
      </c>
      <c r="J42" s="16" t="n">
        <f aca="false">D42/I42</f>
        <v>8925.27687535348</v>
      </c>
      <c r="O42" s="14" t="n">
        <f aca="false">B42</f>
        <v>1287</v>
      </c>
      <c r="P42" s="16" t="n">
        <f aca="false">E42</f>
        <v>278372</v>
      </c>
      <c r="Q42" s="16" t="n">
        <f aca="false">F42</f>
        <v>272000</v>
      </c>
    </row>
    <row r="43" customFormat="false" ht="15" hidden="false" customHeight="false" outlineLevel="0" collapsed="false">
      <c r="A43" s="12" t="n">
        <v>42286</v>
      </c>
      <c r="B43" s="13" t="n">
        <v>1288</v>
      </c>
      <c r="C43" s="14" t="n">
        <f aca="false">MIN(52,INT((A43-DATE(YEAR(A43),1,1))/7)+1)</f>
        <v>41</v>
      </c>
      <c r="D43" s="15" t="n">
        <v>9137</v>
      </c>
      <c r="E43" s="15" t="n">
        <v>278372</v>
      </c>
      <c r="F43" s="15" t="n">
        <v>267000</v>
      </c>
      <c r="G43" s="16" t="n">
        <f aca="false">$M$3+$M$4*B43</f>
        <v>9336.14467858164</v>
      </c>
      <c r="H43" s="17" t="n">
        <f aca="false">D43/G43</f>
        <v>0.978669495231956</v>
      </c>
      <c r="I43" s="18" t="n">
        <f aca="false">INDEX('2 Seasonal Index'!$D$3:$D$54,C43)</f>
        <v>0.995835782550445</v>
      </c>
      <c r="J43" s="16" t="n">
        <f aca="false">D43/I43</f>
        <v>9175.20755942223</v>
      </c>
      <c r="O43" s="14" t="n">
        <f aca="false">B43</f>
        <v>1288</v>
      </c>
      <c r="P43" s="16" t="n">
        <f aca="false">E43</f>
        <v>278372</v>
      </c>
      <c r="Q43" s="16" t="n">
        <f aca="false">F43</f>
        <v>267000</v>
      </c>
    </row>
    <row r="44" customFormat="false" ht="15" hidden="false" customHeight="false" outlineLevel="0" collapsed="false">
      <c r="A44" s="12" t="n">
        <v>42293</v>
      </c>
      <c r="B44" s="13" t="n">
        <v>1289</v>
      </c>
      <c r="C44" s="14" t="n">
        <f aca="false">MIN(52,INT((A44-DATE(YEAR(A44),1,1))/7)+1)</f>
        <v>42</v>
      </c>
      <c r="D44" s="15" t="n">
        <v>9157</v>
      </c>
      <c r="E44" s="15" t="n">
        <v>272209</v>
      </c>
      <c r="F44" s="15" t="n">
        <v>265000</v>
      </c>
      <c r="G44" s="16" t="n">
        <f aca="false">$M$3+$M$4*B44</f>
        <v>9334.97200364332</v>
      </c>
      <c r="H44" s="17" t="n">
        <f aca="false">D44/G44</f>
        <v>0.980934918329283</v>
      </c>
      <c r="I44" s="18" t="n">
        <f aca="false">INDEX('2 Seasonal Index'!$D$3:$D$54,C44)</f>
        <v>1.00307364557144</v>
      </c>
      <c r="J44" s="16" t="n">
        <f aca="false">D44/I44</f>
        <v>9128.9408713189</v>
      </c>
      <c r="O44" s="14" t="n">
        <f aca="false">B44</f>
        <v>1289</v>
      </c>
      <c r="P44" s="16" t="n">
        <f aca="false">E44</f>
        <v>272209</v>
      </c>
      <c r="Q44" s="16" t="n">
        <f aca="false">F44</f>
        <v>265000</v>
      </c>
    </row>
    <row r="45" customFormat="false" ht="15" hidden="false" customHeight="false" outlineLevel="0" collapsed="false">
      <c r="A45" s="12" t="n">
        <v>42300</v>
      </c>
      <c r="B45" s="13" t="n">
        <v>1290</v>
      </c>
      <c r="C45" s="14" t="n">
        <f aca="false">MIN(52,INT((A45-DATE(YEAR(A45),1,1))/7)+1)</f>
        <v>43</v>
      </c>
      <c r="D45" s="15" t="n">
        <v>9343</v>
      </c>
      <c r="E45" s="15" t="n">
        <v>272209</v>
      </c>
      <c r="F45" s="15" t="n">
        <v>264000</v>
      </c>
      <c r="G45" s="16" t="n">
        <f aca="false">$M$3+$M$4*B45</f>
        <v>9333.799328705</v>
      </c>
      <c r="H45" s="17" t="n">
        <f aca="false">D45/G45</f>
        <v>1.00098573699423</v>
      </c>
      <c r="I45" s="18" t="n">
        <f aca="false">INDEX('2 Seasonal Index'!$D$3:$D$54,C45)</f>
        <v>1.01224087755293</v>
      </c>
      <c r="J45" s="16" t="n">
        <f aca="false">D45/I45</f>
        <v>9230.01649823356</v>
      </c>
      <c r="O45" s="14" t="n">
        <f aca="false">B45</f>
        <v>1290</v>
      </c>
      <c r="P45" s="16" t="n">
        <f aca="false">E45</f>
        <v>272209</v>
      </c>
      <c r="Q45" s="16" t="n">
        <f aca="false">F45</f>
        <v>264000</v>
      </c>
    </row>
    <row r="46" customFormat="false" ht="15" hidden="false" customHeight="false" outlineLevel="0" collapsed="false">
      <c r="A46" s="12" t="n">
        <v>42307</v>
      </c>
      <c r="B46" s="13" t="n">
        <v>1291</v>
      </c>
      <c r="C46" s="14" t="n">
        <f aca="false">MIN(52,INT((A46-DATE(YEAR(A46),1,1))/7)+1)</f>
        <v>44</v>
      </c>
      <c r="D46" s="15" t="n">
        <v>9184</v>
      </c>
      <c r="E46" s="15" t="n">
        <v>272209</v>
      </c>
      <c r="F46" s="15" t="n">
        <v>264000</v>
      </c>
      <c r="G46" s="16" t="n">
        <f aca="false">$M$3+$M$4*B46</f>
        <v>9332.62665376668</v>
      </c>
      <c r="H46" s="17" t="n">
        <f aca="false">D46/G46</f>
        <v>0.984074509858734</v>
      </c>
      <c r="I46" s="18" t="n">
        <f aca="false">INDEX('2 Seasonal Index'!$D$3:$D$54,C46)</f>
        <v>1.01203159220993</v>
      </c>
      <c r="J46" s="16" t="n">
        <f aca="false">D46/I46</f>
        <v>9074.81552027963</v>
      </c>
      <c r="O46" s="14" t="n">
        <f aca="false">B46</f>
        <v>1291</v>
      </c>
      <c r="P46" s="16" t="n">
        <f aca="false">E46</f>
        <v>272209</v>
      </c>
      <c r="Q46" s="16" t="n">
        <f aca="false">F46</f>
        <v>264000</v>
      </c>
    </row>
    <row r="47" customFormat="false" ht="15" hidden="false" customHeight="false" outlineLevel="0" collapsed="false">
      <c r="A47" s="12" t="n">
        <v>42314</v>
      </c>
      <c r="B47" s="13" t="n">
        <v>1292</v>
      </c>
      <c r="C47" s="14" t="n">
        <f aca="false">MIN(52,INT((A47-DATE(YEAR(A47),1,1))/7)+1)</f>
        <v>45</v>
      </c>
      <c r="D47" s="15" t="n">
        <v>9388</v>
      </c>
      <c r="E47" s="15" t="n">
        <v>272209</v>
      </c>
      <c r="F47" s="15" t="n">
        <v>275000</v>
      </c>
      <c r="G47" s="16" t="n">
        <f aca="false">$M$3+$M$4*B47</f>
        <v>9331.45397882836</v>
      </c>
      <c r="H47" s="17" t="n">
        <f aca="false">D47/G47</f>
        <v>1.00605972245054</v>
      </c>
      <c r="I47" s="18" t="n">
        <f aca="false">INDEX('2 Seasonal Index'!$D$3:$D$54,C47)</f>
        <v>1.01104078083898</v>
      </c>
      <c r="J47" s="16" t="n">
        <f aca="false">D47/I47</f>
        <v>9285.48103886543</v>
      </c>
      <c r="O47" s="14" t="n">
        <f aca="false">B47</f>
        <v>1292</v>
      </c>
      <c r="P47" s="16" t="n">
        <f aca="false">E47</f>
        <v>272209</v>
      </c>
      <c r="Q47" s="16" t="n">
        <f aca="false">F47</f>
        <v>275000</v>
      </c>
    </row>
    <row r="48" customFormat="false" ht="15" hidden="false" customHeight="false" outlineLevel="0" collapsed="false">
      <c r="A48" s="12" t="n">
        <v>42321</v>
      </c>
      <c r="B48" s="13" t="n">
        <v>1293</v>
      </c>
      <c r="C48" s="14" t="n">
        <f aca="false">MIN(52,INT((A48-DATE(YEAR(A48),1,1))/7)+1)</f>
        <v>46</v>
      </c>
      <c r="D48" s="15" t="n">
        <v>9054</v>
      </c>
      <c r="E48" s="15" t="n">
        <v>272209</v>
      </c>
      <c r="F48" s="15" t="n">
        <v>276000</v>
      </c>
      <c r="G48" s="16" t="n">
        <f aca="false">$M$3+$M$4*B48</f>
        <v>9330.28130389004</v>
      </c>
      <c r="H48" s="17" t="n">
        <f aca="false">D48/G48</f>
        <v>0.970388748753497</v>
      </c>
      <c r="I48" s="18" t="n">
        <f aca="false">INDEX('2 Seasonal Index'!$D$3:$D$54,C48)</f>
        <v>0.986356106092814</v>
      </c>
      <c r="J48" s="16" t="n">
        <f aca="false">D48/I48</f>
        <v>9179.240584686</v>
      </c>
      <c r="O48" s="14" t="n">
        <f aca="false">B48</f>
        <v>1293</v>
      </c>
      <c r="P48" s="16" t="n">
        <f aca="false">E48</f>
        <v>272209</v>
      </c>
      <c r="Q48" s="16" t="n">
        <f aca="false">F48</f>
        <v>276000</v>
      </c>
    </row>
    <row r="49" customFormat="false" ht="15" hidden="false" customHeight="false" outlineLevel="0" collapsed="false">
      <c r="A49" s="12" t="n">
        <v>42328</v>
      </c>
      <c r="B49" s="13" t="n">
        <v>1294</v>
      </c>
      <c r="C49" s="14" t="n">
        <f aca="false">MIN(52,INT((A49-DATE(YEAR(A49),1,1))/7)+1)</f>
        <v>47</v>
      </c>
      <c r="D49" s="15" t="n">
        <v>8921</v>
      </c>
      <c r="E49" s="15" t="n">
        <v>255090</v>
      </c>
      <c r="F49" s="15" t="n">
        <v>272000</v>
      </c>
      <c r="G49" s="16" t="n">
        <f aca="false">$M$3+$M$4*B49</f>
        <v>9329.10862895172</v>
      </c>
      <c r="H49" s="17" t="n">
        <f aca="false">D49/G49</f>
        <v>0.956254274102329</v>
      </c>
      <c r="I49" s="18" t="n">
        <f aca="false">INDEX('2 Seasonal Index'!$D$3:$D$54,C49)</f>
        <v>0.965789408729148</v>
      </c>
      <c r="J49" s="16" t="n">
        <f aca="false">D49/I49</f>
        <v>9237.00334603883</v>
      </c>
      <c r="O49" s="14" t="n">
        <f aca="false">B49</f>
        <v>1294</v>
      </c>
      <c r="P49" s="16" t="n">
        <f aca="false">E49</f>
        <v>255090</v>
      </c>
      <c r="Q49" s="16" t="n">
        <f aca="false">F49</f>
        <v>272000</v>
      </c>
    </row>
    <row r="50" customFormat="false" ht="15" hidden="false" customHeight="false" outlineLevel="0" collapsed="false">
      <c r="A50" s="12" t="n">
        <v>42335</v>
      </c>
      <c r="B50" s="13" t="n">
        <v>1295</v>
      </c>
      <c r="C50" s="14" t="n">
        <f aca="false">MIN(52,INT((A50-DATE(YEAR(A50),1,1))/7)+1)</f>
        <v>48</v>
      </c>
      <c r="D50" s="15" t="n">
        <v>9281</v>
      </c>
      <c r="E50" s="15" t="n">
        <v>255090</v>
      </c>
      <c r="F50" s="15" t="n">
        <v>261000</v>
      </c>
      <c r="G50" s="16" t="n">
        <f aca="false">$M$3+$M$4*B50</f>
        <v>9327.9359540134</v>
      </c>
      <c r="H50" s="17" t="n">
        <f aca="false">D50/G50</f>
        <v>0.994968237963383</v>
      </c>
      <c r="I50" s="18" t="n">
        <f aca="false">INDEX('2 Seasonal Index'!$D$3:$D$54,C50)</f>
        <v>0.974753768618106</v>
      </c>
      <c r="J50" s="16" t="n">
        <f aca="false">D50/I50</f>
        <v>9521.37893568499</v>
      </c>
      <c r="O50" s="14" t="n">
        <f aca="false">B50</f>
        <v>1295</v>
      </c>
      <c r="P50" s="16" t="n">
        <f aca="false">E50</f>
        <v>255090</v>
      </c>
      <c r="Q50" s="16" t="n">
        <f aca="false">F50</f>
        <v>261000</v>
      </c>
    </row>
    <row r="51" customFormat="false" ht="15" hidden="false" customHeight="false" outlineLevel="0" collapsed="false">
      <c r="A51" s="12" t="n">
        <v>42342</v>
      </c>
      <c r="B51" s="13" t="n">
        <v>1296</v>
      </c>
      <c r="C51" s="14" t="n">
        <f aca="false">MIN(52,INT((A51-DATE(YEAR(A51),1,1))/7)+1)</f>
        <v>49</v>
      </c>
      <c r="D51" s="15" t="n">
        <v>9420</v>
      </c>
      <c r="E51" s="15" t="n">
        <v>255090</v>
      </c>
      <c r="F51" s="15" t="n">
        <v>265000</v>
      </c>
      <c r="G51" s="16" t="n">
        <f aca="false">$M$3+$M$4*B51</f>
        <v>9326.76327907508</v>
      </c>
      <c r="H51" s="17" t="n">
        <f aca="false">D51/G51</f>
        <v>1.00999668568131</v>
      </c>
      <c r="I51" s="18" t="n">
        <f aca="false">INDEX('2 Seasonal Index'!$D$3:$D$54,C51)</f>
        <v>0.980293720669235</v>
      </c>
      <c r="J51" s="16" t="n">
        <f aca="false">D51/I51</f>
        <v>9609.36482748158</v>
      </c>
      <c r="O51" s="14" t="n">
        <f aca="false">B51</f>
        <v>1296</v>
      </c>
      <c r="P51" s="16" t="n">
        <f aca="false">E51</f>
        <v>255090</v>
      </c>
      <c r="Q51" s="16" t="n">
        <f aca="false">F51</f>
        <v>265000</v>
      </c>
    </row>
    <row r="52" customFormat="false" ht="15" hidden="false" customHeight="false" outlineLevel="0" collapsed="false">
      <c r="A52" s="12" t="n">
        <v>42349</v>
      </c>
      <c r="B52" s="13" t="n">
        <v>1297</v>
      </c>
      <c r="C52" s="14" t="n">
        <f aca="false">MIN(52,INT((A52-DATE(YEAR(A52),1,1))/7)+1)</f>
        <v>50</v>
      </c>
      <c r="D52" s="15" t="n">
        <v>9220</v>
      </c>
      <c r="E52" s="15" t="n">
        <v>255090</v>
      </c>
      <c r="F52" s="15" t="n">
        <v>280000</v>
      </c>
      <c r="G52" s="16" t="n">
        <f aca="false">$M$3+$M$4*B52</f>
        <v>9325.59060413676</v>
      </c>
      <c r="H52" s="17" t="n">
        <f aca="false">D52/G52</f>
        <v>0.988677327944257</v>
      </c>
      <c r="I52" s="18" t="n">
        <f aca="false">INDEX('2 Seasonal Index'!$D$3:$D$54,C52)</f>
        <v>1.00060911532618</v>
      </c>
      <c r="J52" s="16" t="n">
        <f aca="false">D52/I52</f>
        <v>9214.38737542827</v>
      </c>
      <c r="O52" s="14" t="n">
        <f aca="false">B52</f>
        <v>1297</v>
      </c>
      <c r="P52" s="16" t="n">
        <f aca="false">E52</f>
        <v>255090</v>
      </c>
      <c r="Q52" s="16" t="n">
        <f aca="false">F52</f>
        <v>280000</v>
      </c>
    </row>
    <row r="53" customFormat="false" ht="15" hidden="false" customHeight="false" outlineLevel="0" collapsed="false">
      <c r="A53" s="12" t="n">
        <v>42356</v>
      </c>
      <c r="B53" s="13" t="n">
        <v>1298</v>
      </c>
      <c r="C53" s="14" t="n">
        <f aca="false">MIN(52,INT((A53-DATE(YEAR(A53),1,1))/7)+1)</f>
        <v>51</v>
      </c>
      <c r="D53" s="15" t="n">
        <v>9185</v>
      </c>
      <c r="E53" s="15" t="n">
        <v>268469</v>
      </c>
      <c r="F53" s="15" t="n">
        <v>268000</v>
      </c>
      <c r="G53" s="16" t="n">
        <f aca="false">$M$3+$M$4*B53</f>
        <v>9324.41792919845</v>
      </c>
      <c r="H53" s="17" t="n">
        <f aca="false">D53/G53</f>
        <v>0.985048082329957</v>
      </c>
      <c r="I53" s="18" t="n">
        <f aca="false">INDEX('2 Seasonal Index'!$D$3:$D$54,C53)</f>
        <v>1.02197331378228</v>
      </c>
      <c r="J53" s="16" t="n">
        <f aca="false">D53/I53</f>
        <v>8987.5145232577</v>
      </c>
      <c r="O53" s="14" t="n">
        <f aca="false">B53</f>
        <v>1298</v>
      </c>
      <c r="P53" s="16" t="n">
        <f aca="false">E53</f>
        <v>268469</v>
      </c>
      <c r="Q53" s="16" t="n">
        <f aca="false">F53</f>
        <v>268000</v>
      </c>
    </row>
    <row r="54" customFormat="false" ht="15" hidden="false" customHeight="false" outlineLevel="0" collapsed="false">
      <c r="A54" s="12" t="n">
        <v>42363</v>
      </c>
      <c r="B54" s="13" t="n">
        <v>1299</v>
      </c>
      <c r="C54" s="14" t="n">
        <f aca="false">MIN(52,INT((A54-DATE(YEAR(A54),1,1))/7)+1)</f>
        <v>52</v>
      </c>
      <c r="D54" s="15" t="n">
        <v>9395</v>
      </c>
      <c r="E54" s="15" t="n">
        <v>268469</v>
      </c>
      <c r="F54" s="15" t="n">
        <v>260000</v>
      </c>
      <c r="G54" s="16" t="n">
        <f aca="false">$M$3+$M$4*B54</f>
        <v>9323.24525426013</v>
      </c>
      <c r="H54" s="17" t="n">
        <f aca="false">D54/G54</f>
        <v>1.00769632716753</v>
      </c>
      <c r="I54" s="18" t="n">
        <f aca="false">INDEX('2 Seasonal Index'!$D$3:$D$54,C54)</f>
        <v>0.941059701689701</v>
      </c>
      <c r="J54" s="16" t="n">
        <f aca="false">D54/I54</f>
        <v>9983.42611327527</v>
      </c>
      <c r="O54" s="14" t="n">
        <f aca="false">B54</f>
        <v>1299</v>
      </c>
      <c r="P54" s="16" t="n">
        <f aca="false">E54</f>
        <v>268469</v>
      </c>
      <c r="Q54" s="16" t="n">
        <f aca="false">F54</f>
        <v>260000</v>
      </c>
    </row>
    <row r="55" customFormat="false" ht="15" hidden="false" customHeight="false" outlineLevel="0" collapsed="false">
      <c r="A55" s="12" t="n">
        <v>42370</v>
      </c>
      <c r="B55" s="13" t="n">
        <v>1300</v>
      </c>
      <c r="C55" s="14" t="n">
        <f aca="false">MIN(52,INT((A55-DATE(YEAR(A55),1,1))/7)+1)</f>
        <v>1</v>
      </c>
      <c r="D55" s="15" t="n">
        <v>8159</v>
      </c>
      <c r="E55" s="15" t="n">
        <v>268469</v>
      </c>
      <c r="F55" s="15" t="n">
        <v>276000</v>
      </c>
      <c r="G55" s="16" t="n">
        <f aca="false">$M$3+$M$4*B55</f>
        <v>9322.07257932181</v>
      </c>
      <c r="H55" s="17" t="n">
        <f aca="false">D55/G55</f>
        <v>0.875234550104048</v>
      </c>
      <c r="I55" s="18" t="n">
        <f aca="false">INDEX('2 Seasonal Index'!$D$3:$D$54,C55)</f>
        <v>0.914658189121246</v>
      </c>
      <c r="J55" s="16" t="n">
        <f aca="false">D55/I55</f>
        <v>8920.27218150064</v>
      </c>
      <c r="O55" s="14" t="n">
        <f aca="false">B55</f>
        <v>1300</v>
      </c>
      <c r="P55" s="16" t="n">
        <f aca="false">E55</f>
        <v>268469</v>
      </c>
      <c r="Q55" s="16" t="n">
        <f aca="false">F55</f>
        <v>276000</v>
      </c>
    </row>
    <row r="56" customFormat="false" ht="15" hidden="false" customHeight="false" outlineLevel="0" collapsed="false">
      <c r="A56" s="12" t="n">
        <v>42377</v>
      </c>
      <c r="B56" s="13" t="n">
        <v>1301</v>
      </c>
      <c r="C56" s="14" t="n">
        <f aca="false">MIN(52,INT((A56-DATE(YEAR(A56),1,1))/7)+1)</f>
        <v>2</v>
      </c>
      <c r="D56" s="15" t="n">
        <v>8500</v>
      </c>
      <c r="E56" s="15" t="n">
        <v>268469</v>
      </c>
      <c r="F56" s="15" t="n">
        <v>273000</v>
      </c>
      <c r="G56" s="16" t="n">
        <f aca="false">$M$3+$M$4*B56</f>
        <v>9320.89990438349</v>
      </c>
      <c r="H56" s="17" t="n">
        <f aca="false">D56/G56</f>
        <v>0.911929114913311</v>
      </c>
      <c r="I56" s="18" t="n">
        <f aca="false">INDEX('2 Seasonal Index'!$D$3:$D$54,C56)</f>
        <v>0.921123720796805</v>
      </c>
      <c r="J56" s="16" t="n">
        <f aca="false">D56/I56</f>
        <v>9227.85919859625</v>
      </c>
      <c r="O56" s="14" t="n">
        <f aca="false">B56</f>
        <v>1301</v>
      </c>
      <c r="P56" s="16" t="n">
        <f aca="false">E56</f>
        <v>268469</v>
      </c>
      <c r="Q56" s="16" t="n">
        <f aca="false">F56</f>
        <v>273000</v>
      </c>
    </row>
    <row r="57" customFormat="false" ht="15" hidden="false" customHeight="false" outlineLevel="0" collapsed="false">
      <c r="A57" s="12" t="n">
        <v>42384</v>
      </c>
      <c r="B57" s="13" t="n">
        <v>1302</v>
      </c>
      <c r="C57" s="14" t="n">
        <f aca="false">MIN(52,INT((A57-DATE(YEAR(A57),1,1))/7)+1)</f>
        <v>3</v>
      </c>
      <c r="D57" s="15" t="n">
        <v>9079</v>
      </c>
      <c r="E57" s="15" t="n">
        <v>248843</v>
      </c>
      <c r="F57" s="15" t="n">
        <v>284000</v>
      </c>
      <c r="G57" s="16" t="n">
        <f aca="false">$M$3+$M$4*B57</f>
        <v>9319.72722944517</v>
      </c>
      <c r="H57" s="17" t="n">
        <f aca="false">D57/G57</f>
        <v>0.97417014215989</v>
      </c>
      <c r="I57" s="18" t="n">
        <f aca="false">INDEX('2 Seasonal Index'!$D$3:$D$54,C57)</f>
        <v>0.932475709892495</v>
      </c>
      <c r="J57" s="16" t="n">
        <f aca="false">D57/I57</f>
        <v>9736.44664808129</v>
      </c>
      <c r="O57" s="14" t="n">
        <f aca="false">B57</f>
        <v>1302</v>
      </c>
      <c r="P57" s="16" t="n">
        <f aca="false">E57</f>
        <v>248843</v>
      </c>
      <c r="Q57" s="16" t="n">
        <f aca="false">F57</f>
        <v>284000</v>
      </c>
    </row>
    <row r="58" customFormat="false" ht="15" hidden="false" customHeight="false" outlineLevel="0" collapsed="false">
      <c r="A58" s="12" t="n">
        <v>42391</v>
      </c>
      <c r="B58" s="13" t="n">
        <v>1303</v>
      </c>
      <c r="C58" s="14" t="n">
        <f aca="false">MIN(52,INT((A58-DATE(YEAR(A58),1,1))/7)+1)</f>
        <v>4</v>
      </c>
      <c r="D58" s="15" t="n">
        <v>8941</v>
      </c>
      <c r="E58" s="15" t="n">
        <v>248843</v>
      </c>
      <c r="F58" s="15" t="n">
        <v>290000</v>
      </c>
      <c r="G58" s="16" t="n">
        <f aca="false">$M$3+$M$4*B58</f>
        <v>9318.55455450685</v>
      </c>
      <c r="H58" s="17" t="n">
        <f aca="false">D58/G58</f>
        <v>0.959483570944568</v>
      </c>
      <c r="I58" s="18" t="n">
        <f aca="false">INDEX('2 Seasonal Index'!$D$3:$D$54,C58)</f>
        <v>0.95567024426302</v>
      </c>
      <c r="J58" s="16" t="n">
        <f aca="false">D58/I58</f>
        <v>9355.73756081</v>
      </c>
      <c r="O58" s="14" t="n">
        <f aca="false">B58</f>
        <v>1303</v>
      </c>
      <c r="P58" s="16" t="n">
        <f aca="false">E58</f>
        <v>248843</v>
      </c>
      <c r="Q58" s="16" t="n">
        <f aca="false">F58</f>
        <v>290000</v>
      </c>
    </row>
    <row r="59" customFormat="false" ht="15" hidden="false" customHeight="false" outlineLevel="0" collapsed="false">
      <c r="A59" s="12" t="n">
        <v>42398</v>
      </c>
      <c r="B59" s="13" t="n">
        <v>1304</v>
      </c>
      <c r="C59" s="14" t="n">
        <f aca="false">MIN(52,INT((A59-DATE(YEAR(A59),1,1))/7)+1)</f>
        <v>5</v>
      </c>
      <c r="D59" s="15" t="n">
        <v>8341</v>
      </c>
      <c r="E59" s="15" t="n">
        <v>248843</v>
      </c>
      <c r="F59" s="15" t="n">
        <v>269000</v>
      </c>
      <c r="G59" s="16" t="n">
        <f aca="false">$M$3+$M$4*B59</f>
        <v>9317.38187956853</v>
      </c>
      <c r="H59" s="17" t="n">
        <f aca="false">D59/G59</f>
        <v>0.895208558349468</v>
      </c>
      <c r="I59" s="18" t="n">
        <f aca="false">INDEX('2 Seasonal Index'!$D$3:$D$54,C59)</f>
        <v>0.963785211095498</v>
      </c>
      <c r="J59" s="16" t="n">
        <f aca="false">D59/I59</f>
        <v>8654.4179179914</v>
      </c>
      <c r="O59" s="14" t="n">
        <f aca="false">B59</f>
        <v>1304</v>
      </c>
      <c r="P59" s="16" t="n">
        <f aca="false">E59</f>
        <v>248843</v>
      </c>
      <c r="Q59" s="16" t="n">
        <f aca="false">F59</f>
        <v>269000</v>
      </c>
    </row>
    <row r="60" customFormat="false" ht="15" hidden="false" customHeight="false" outlineLevel="0" collapsed="false">
      <c r="A60" s="12" t="n">
        <v>42405</v>
      </c>
      <c r="B60" s="13" t="n">
        <v>1305</v>
      </c>
      <c r="C60" s="14" t="n">
        <f aca="false">MIN(52,INT((A60-DATE(YEAR(A60),1,1))/7)+1)</f>
        <v>6</v>
      </c>
      <c r="D60" s="15" t="n">
        <v>9122</v>
      </c>
      <c r="E60" s="15" t="n">
        <v>248843</v>
      </c>
      <c r="F60" s="15" t="n">
        <v>282000</v>
      </c>
      <c r="G60" s="16" t="n">
        <f aca="false">$M$3+$M$4*B60</f>
        <v>9316.20920463021</v>
      </c>
      <c r="H60" s="17" t="n">
        <f aca="false">D60/G60</f>
        <v>0.979153623500244</v>
      </c>
      <c r="I60" s="18" t="n">
        <f aca="false">INDEX('2 Seasonal Index'!$D$3:$D$54,C60)</f>
        <v>0.93990301851115</v>
      </c>
      <c r="J60" s="16" t="n">
        <f aca="false">D60/I60</f>
        <v>9705.25662791218</v>
      </c>
      <c r="O60" s="14" t="n">
        <f aca="false">B60</f>
        <v>1305</v>
      </c>
      <c r="P60" s="16" t="n">
        <f aca="false">E60</f>
        <v>248843</v>
      </c>
      <c r="Q60" s="16" t="n">
        <f aca="false">F60</f>
        <v>282000</v>
      </c>
    </row>
    <row r="61" customFormat="false" ht="15" hidden="false" customHeight="false" outlineLevel="0" collapsed="false">
      <c r="A61" s="12" t="n">
        <v>42412</v>
      </c>
      <c r="B61" s="13" t="n">
        <v>1306</v>
      </c>
      <c r="C61" s="14" t="n">
        <f aca="false">MIN(52,INT((A61-DATE(YEAR(A61),1,1))/7)+1)</f>
        <v>7</v>
      </c>
      <c r="D61" s="15" t="n">
        <v>9203</v>
      </c>
      <c r="E61" s="15" t="n">
        <v>248843</v>
      </c>
      <c r="F61" s="15" t="n">
        <v>266000</v>
      </c>
      <c r="G61" s="16" t="n">
        <f aca="false">$M$3+$M$4*B61</f>
        <v>9315.03652969189</v>
      </c>
      <c r="H61" s="17" t="n">
        <f aca="false">D61/G61</f>
        <v>0.987972507747578</v>
      </c>
      <c r="I61" s="18" t="n">
        <f aca="false">INDEX('2 Seasonal Index'!$D$3:$D$54,C61)</f>
        <v>0.963162093989007</v>
      </c>
      <c r="J61" s="16" t="n">
        <f aca="false">D61/I61</f>
        <v>9554.9856638202</v>
      </c>
      <c r="O61" s="14" t="n">
        <f aca="false">B61</f>
        <v>1306</v>
      </c>
      <c r="P61" s="16" t="n">
        <f aca="false">E61</f>
        <v>248843</v>
      </c>
      <c r="Q61" s="16" t="n">
        <f aca="false">F61</f>
        <v>266000</v>
      </c>
    </row>
    <row r="62" customFormat="false" ht="15" hidden="false" customHeight="false" outlineLevel="0" collapsed="false">
      <c r="A62" s="12" t="n">
        <v>42419</v>
      </c>
      <c r="B62" s="13" t="n">
        <v>1307</v>
      </c>
      <c r="C62" s="14" t="n">
        <f aca="false">MIN(52,INT((A62-DATE(YEAR(A62),1,1))/7)+1)</f>
        <v>8</v>
      </c>
      <c r="D62" s="15" t="n">
        <v>9576</v>
      </c>
      <c r="E62" s="15" t="n">
        <v>259424</v>
      </c>
      <c r="F62" s="15" t="n">
        <v>262000</v>
      </c>
      <c r="G62" s="16" t="n">
        <f aca="false">$M$3+$M$4*B62</f>
        <v>9313.86385475357</v>
      </c>
      <c r="H62" s="17" t="n">
        <f aca="false">D62/G62</f>
        <v>1.02814472589833</v>
      </c>
      <c r="I62" s="18" t="n">
        <f aca="false">INDEX('2 Seasonal Index'!$D$3:$D$54,C62)</f>
        <v>0.978387056473038</v>
      </c>
      <c r="J62" s="16" t="n">
        <f aca="false">D62/I62</f>
        <v>9787.53749515072</v>
      </c>
      <c r="O62" s="14" t="n">
        <f aca="false">B62</f>
        <v>1307</v>
      </c>
      <c r="P62" s="16" t="n">
        <f aca="false">E62</f>
        <v>259424</v>
      </c>
      <c r="Q62" s="16" t="n">
        <f aca="false">F62</f>
        <v>262000</v>
      </c>
    </row>
    <row r="63" customFormat="false" ht="15" hidden="false" customHeight="false" outlineLevel="0" collapsed="false">
      <c r="A63" s="12" t="n">
        <v>42426</v>
      </c>
      <c r="B63" s="13" t="n">
        <v>1308</v>
      </c>
      <c r="C63" s="14" t="n">
        <f aca="false">MIN(52,INT((A63-DATE(YEAR(A63),1,1))/7)+1)</f>
        <v>9</v>
      </c>
      <c r="D63" s="15" t="n">
        <v>9121</v>
      </c>
      <c r="E63" s="15" t="n">
        <v>259424</v>
      </c>
      <c r="F63" s="15" t="n">
        <v>270000</v>
      </c>
      <c r="G63" s="16" t="n">
        <f aca="false">$M$3+$M$4*B63</f>
        <v>9312.69117981526</v>
      </c>
      <c r="H63" s="17" t="n">
        <f aca="false">D63/G63</f>
        <v>0.979416134808514</v>
      </c>
      <c r="I63" s="18" t="n">
        <f aca="false">INDEX('2 Seasonal Index'!$D$3:$D$54,C63)</f>
        <v>0.986293676275175</v>
      </c>
      <c r="J63" s="16" t="n">
        <f aca="false">D63/I63</f>
        <v>9247.75269212539</v>
      </c>
      <c r="O63" s="14" t="n">
        <f aca="false">B63</f>
        <v>1308</v>
      </c>
      <c r="P63" s="16" t="n">
        <f aca="false">E63</f>
        <v>259424</v>
      </c>
      <c r="Q63" s="16" t="n">
        <f aca="false">F63</f>
        <v>270000</v>
      </c>
    </row>
    <row r="64" customFormat="false" ht="15" hidden="false" customHeight="false" outlineLevel="0" collapsed="false">
      <c r="A64" s="12" t="n">
        <v>42433</v>
      </c>
      <c r="B64" s="13" t="n">
        <v>1309</v>
      </c>
      <c r="C64" s="14" t="n">
        <f aca="false">MIN(52,INT((A64-DATE(YEAR(A64),1,1))/7)+1)</f>
        <v>10</v>
      </c>
      <c r="D64" s="15" t="n">
        <v>9411</v>
      </c>
      <c r="E64" s="15" t="n">
        <v>259424</v>
      </c>
      <c r="F64" s="15" t="n">
        <v>269000</v>
      </c>
      <c r="G64" s="16" t="n">
        <f aca="false">$M$3+$M$4*B64</f>
        <v>9311.51850487694</v>
      </c>
      <c r="H64" s="17" t="n">
        <f aca="false">D64/G64</f>
        <v>1.01068370267116</v>
      </c>
      <c r="I64" s="18" t="n">
        <f aca="false">INDEX('2 Seasonal Index'!$D$3:$D$54,C64)</f>
        <v>0.995274907218877</v>
      </c>
      <c r="J64" s="16" t="n">
        <f aca="false">D64/I64</f>
        <v>9455.67896039639</v>
      </c>
      <c r="O64" s="14" t="n">
        <f aca="false">B64</f>
        <v>1309</v>
      </c>
      <c r="P64" s="16" t="n">
        <f aca="false">E64</f>
        <v>259424</v>
      </c>
      <c r="Q64" s="16" t="n">
        <f aca="false">F64</f>
        <v>269000</v>
      </c>
    </row>
    <row r="65" customFormat="false" ht="15" hidden="false" customHeight="false" outlineLevel="0" collapsed="false">
      <c r="A65" s="12" t="n">
        <v>42440</v>
      </c>
      <c r="B65" s="13" t="n">
        <v>1310</v>
      </c>
      <c r="C65" s="14" t="n">
        <f aca="false">MIN(52,INT((A65-DATE(YEAR(A65),1,1))/7)+1)</f>
        <v>11</v>
      </c>
      <c r="D65" s="15" t="n">
        <v>9458</v>
      </c>
      <c r="E65" s="15" t="n">
        <v>259424</v>
      </c>
      <c r="F65" s="15" t="n">
        <v>255000</v>
      </c>
      <c r="G65" s="16" t="n">
        <f aca="false">$M$3+$M$4*B65</f>
        <v>9310.34582993862</v>
      </c>
      <c r="H65" s="17" t="n">
        <f aca="false">D65/G65</f>
        <v>1.01585914989179</v>
      </c>
      <c r="I65" s="18" t="n">
        <f aca="false">INDEX('2 Seasonal Index'!$D$3:$D$54,C65)</f>
        <v>1.00212775296089</v>
      </c>
      <c r="J65" s="16" t="n">
        <f aca="false">D65/I65</f>
        <v>9437.91844109229</v>
      </c>
      <c r="O65" s="14" t="n">
        <f aca="false">B65</f>
        <v>1310</v>
      </c>
      <c r="P65" s="16" t="n">
        <f aca="false">E65</f>
        <v>259424</v>
      </c>
      <c r="Q65" s="16" t="n">
        <f aca="false">F65</f>
        <v>255000</v>
      </c>
    </row>
    <row r="66" customFormat="false" ht="15" hidden="false" customHeight="false" outlineLevel="0" collapsed="false">
      <c r="A66" s="12" t="n">
        <v>42447</v>
      </c>
      <c r="B66" s="13" t="n">
        <v>1311</v>
      </c>
      <c r="C66" s="14" t="n">
        <f aca="false">MIN(52,INT((A66-DATE(YEAR(A66),1,1))/7)+1)</f>
        <v>12</v>
      </c>
      <c r="D66" s="15" t="n">
        <v>9503</v>
      </c>
      <c r="E66" s="15" t="n">
        <v>239679</v>
      </c>
      <c r="F66" s="15" t="n">
        <v>263000</v>
      </c>
      <c r="G66" s="16" t="n">
        <f aca="false">$M$3+$M$4*B66</f>
        <v>9309.1731550003</v>
      </c>
      <c r="H66" s="17" t="n">
        <f aca="false">D66/G66</f>
        <v>1.02082105916094</v>
      </c>
      <c r="I66" s="18" t="n">
        <f aca="false">INDEX('2 Seasonal Index'!$D$3:$D$54,C66)</f>
        <v>0.99255102448152</v>
      </c>
      <c r="J66" s="16" t="n">
        <f aca="false">D66/I66</f>
        <v>9574.31886684525</v>
      </c>
      <c r="O66" s="14" t="n">
        <f aca="false">B66</f>
        <v>1311</v>
      </c>
      <c r="P66" s="16" t="n">
        <f aca="false">E66</f>
        <v>239679</v>
      </c>
      <c r="Q66" s="16" t="n">
        <f aca="false">F66</f>
        <v>263000</v>
      </c>
    </row>
    <row r="67" customFormat="false" ht="15" hidden="false" customHeight="false" outlineLevel="0" collapsed="false">
      <c r="A67" s="12" t="n">
        <v>42454</v>
      </c>
      <c r="B67" s="13" t="n">
        <v>1312</v>
      </c>
      <c r="C67" s="14" t="n">
        <f aca="false">MIN(52,INT((A67-DATE(YEAR(A67),1,1))/7)+1)</f>
        <v>13</v>
      </c>
      <c r="D67" s="15" t="n">
        <v>9244</v>
      </c>
      <c r="E67" s="15" t="n">
        <v>239679</v>
      </c>
      <c r="F67" s="15" t="n">
        <v>264000</v>
      </c>
      <c r="G67" s="16" t="n">
        <f aca="false">$M$3+$M$4*B67</f>
        <v>9308.00048006198</v>
      </c>
      <c r="H67" s="17" t="n">
        <f aca="false">D67/G67</f>
        <v>0.993124143020935</v>
      </c>
      <c r="I67" s="18" t="n">
        <f aca="false">INDEX('2 Seasonal Index'!$D$3:$D$54,C67)</f>
        <v>1.00671990755393</v>
      </c>
      <c r="J67" s="16" t="n">
        <f aca="false">D67/I67</f>
        <v>9182.29582095034</v>
      </c>
      <c r="O67" s="14" t="n">
        <f aca="false">B67</f>
        <v>1312</v>
      </c>
      <c r="P67" s="16" t="n">
        <f aca="false">E67</f>
        <v>239679</v>
      </c>
      <c r="Q67" s="16" t="n">
        <f aca="false">F67</f>
        <v>264000</v>
      </c>
    </row>
    <row r="68" customFormat="false" ht="15" hidden="false" customHeight="false" outlineLevel="0" collapsed="false">
      <c r="A68" s="12" t="n">
        <v>42461</v>
      </c>
      <c r="B68" s="13" t="n">
        <v>1313</v>
      </c>
      <c r="C68" s="14" t="n">
        <f aca="false">MIN(52,INT((A68-DATE(YEAR(A68),1,1))/7)+1)</f>
        <v>14</v>
      </c>
      <c r="D68" s="15" t="n">
        <v>9224</v>
      </c>
      <c r="E68" s="15" t="n">
        <v>239679</v>
      </c>
      <c r="F68" s="15" t="n">
        <v>271000</v>
      </c>
      <c r="G68" s="16" t="n">
        <f aca="false">$M$3+$M$4*B68</f>
        <v>9306.82780512366</v>
      </c>
      <c r="H68" s="17" t="n">
        <f aca="false">D68/G68</f>
        <v>0.991100318297706</v>
      </c>
      <c r="I68" s="18" t="n">
        <f aca="false">INDEX('2 Seasonal Index'!$D$3:$D$54,C68)</f>
        <v>0.994713065050192</v>
      </c>
      <c r="J68" s="16" t="n">
        <f aca="false">D68/I68</f>
        <v>9273.02588463997</v>
      </c>
      <c r="O68" s="14" t="n">
        <f aca="false">B68</f>
        <v>1313</v>
      </c>
      <c r="P68" s="16" t="n">
        <f aca="false">E68</f>
        <v>239679</v>
      </c>
      <c r="Q68" s="16" t="n">
        <f aca="false">F68</f>
        <v>271000</v>
      </c>
    </row>
    <row r="69" customFormat="false" ht="15" hidden="false" customHeight="false" outlineLevel="0" collapsed="false">
      <c r="A69" s="12" t="n">
        <v>42468</v>
      </c>
      <c r="B69" s="13" t="n">
        <v>1314</v>
      </c>
      <c r="C69" s="14" t="n">
        <f aca="false">MIN(52,INT((A69-DATE(YEAR(A69),1,1))/7)+1)</f>
        <v>15</v>
      </c>
      <c r="D69" s="15" t="n">
        <v>9633</v>
      </c>
      <c r="E69" s="15" t="n">
        <v>239679</v>
      </c>
      <c r="F69" s="15" t="n">
        <v>273000</v>
      </c>
      <c r="G69" s="16" t="n">
        <f aca="false">$M$3+$M$4*B69</f>
        <v>9305.65513018534</v>
      </c>
      <c r="H69" s="17" t="n">
        <f aca="false">D69/G69</f>
        <v>1.03517698273095</v>
      </c>
      <c r="I69" s="18" t="n">
        <f aca="false">INDEX('2 Seasonal Index'!$D$3:$D$54,C69)</f>
        <v>1.00303091571571</v>
      </c>
      <c r="J69" s="16" t="n">
        <f aca="false">D69/I69</f>
        <v>9603.89141457956</v>
      </c>
      <c r="O69" s="14" t="n">
        <f aca="false">B69</f>
        <v>1314</v>
      </c>
      <c r="P69" s="16" t="n">
        <f aca="false">E69</f>
        <v>239679</v>
      </c>
      <c r="Q69" s="16" t="n">
        <f aca="false">F69</f>
        <v>273000</v>
      </c>
    </row>
    <row r="70" customFormat="false" ht="15" hidden="false" customHeight="false" outlineLevel="0" collapsed="false">
      <c r="A70" s="12" t="n">
        <v>42475</v>
      </c>
      <c r="B70" s="13" t="n">
        <v>1315</v>
      </c>
      <c r="C70" s="14" t="n">
        <f aca="false">MIN(52,INT((A70-DATE(YEAR(A70),1,1))/7)+1)</f>
        <v>16</v>
      </c>
      <c r="D70" s="15" t="n">
        <v>9444</v>
      </c>
      <c r="E70" s="15" t="n">
        <v>223011</v>
      </c>
      <c r="F70" s="15" t="n">
        <v>263000</v>
      </c>
      <c r="G70" s="16" t="n">
        <f aca="false">$M$3+$M$4*B70</f>
        <v>9304.48245524702</v>
      </c>
      <c r="H70" s="17" t="n">
        <f aca="false">D70/G70</f>
        <v>1.01499465934017</v>
      </c>
      <c r="I70" s="18" t="n">
        <f aca="false">INDEX('2 Seasonal Index'!$D$3:$D$54,C70)</f>
        <v>1.00209740802543</v>
      </c>
      <c r="J70" s="16" t="n">
        <f aca="false">D70/I70</f>
        <v>9424.23353694611</v>
      </c>
      <c r="O70" s="14" t="n">
        <f aca="false">B70</f>
        <v>1315</v>
      </c>
      <c r="P70" s="16" t="n">
        <f aca="false">E70</f>
        <v>223011</v>
      </c>
      <c r="Q70" s="16" t="n">
        <f aca="false">F70</f>
        <v>263000</v>
      </c>
    </row>
    <row r="71" customFormat="false" ht="15" hidden="false" customHeight="false" outlineLevel="0" collapsed="false">
      <c r="A71" s="12" t="n">
        <v>42482</v>
      </c>
      <c r="B71" s="13" t="n">
        <v>1316</v>
      </c>
      <c r="C71" s="14" t="n">
        <f aca="false">MIN(52,INT((A71-DATE(YEAR(A71),1,1))/7)+1)</f>
        <v>17</v>
      </c>
      <c r="D71" s="15" t="n">
        <v>9315</v>
      </c>
      <c r="E71" s="15" t="n">
        <v>223011</v>
      </c>
      <c r="F71" s="15" t="n">
        <v>257000</v>
      </c>
      <c r="G71" s="16" t="n">
        <f aca="false">$M$3+$M$4*B71</f>
        <v>9303.3097803087</v>
      </c>
      <c r="H71" s="17" t="n">
        <f aca="false">D71/G71</f>
        <v>1.00125656567043</v>
      </c>
      <c r="I71" s="18" t="n">
        <f aca="false">INDEX('2 Seasonal Index'!$D$3:$D$54,C71)</f>
        <v>0.985720009085136</v>
      </c>
      <c r="J71" s="16" t="n">
        <f aca="false">D71/I71</f>
        <v>9449.94513061109</v>
      </c>
      <c r="O71" s="14" t="n">
        <f aca="false">B71</f>
        <v>1316</v>
      </c>
      <c r="P71" s="16" t="n">
        <f aca="false">E71</f>
        <v>223011</v>
      </c>
      <c r="Q71" s="16" t="n">
        <f aca="false">F71</f>
        <v>257000</v>
      </c>
    </row>
    <row r="72" customFormat="false" ht="15" hidden="false" customHeight="false" outlineLevel="0" collapsed="false">
      <c r="A72" s="12" t="n">
        <v>42489</v>
      </c>
      <c r="B72" s="13" t="n">
        <v>1317</v>
      </c>
      <c r="C72" s="14" t="n">
        <f aca="false">MIN(52,INT((A72-DATE(YEAR(A72),1,1))/7)+1)</f>
        <v>18</v>
      </c>
      <c r="D72" s="15" t="n">
        <v>9502</v>
      </c>
      <c r="E72" s="15" t="n">
        <v>223011</v>
      </c>
      <c r="F72" s="15" t="n">
        <v>259000</v>
      </c>
      <c r="G72" s="16" t="n">
        <f aca="false">$M$3+$M$4*B72</f>
        <v>9302.13710537038</v>
      </c>
      <c r="H72" s="17" t="n">
        <f aca="false">D72/G72</f>
        <v>1.02148569649809</v>
      </c>
      <c r="I72" s="18" t="n">
        <f aca="false">INDEX('2 Seasonal Index'!$D$3:$D$54,C72)</f>
        <v>1.01814015000929</v>
      </c>
      <c r="J72" s="16" t="n">
        <f aca="false">D72/I72</f>
        <v>9332.70336103852</v>
      </c>
      <c r="O72" s="14" t="n">
        <f aca="false">B72</f>
        <v>1317</v>
      </c>
      <c r="P72" s="16" t="n">
        <f aca="false">E72</f>
        <v>223011</v>
      </c>
      <c r="Q72" s="16" t="n">
        <f aca="false">F72</f>
        <v>259000</v>
      </c>
    </row>
    <row r="73" customFormat="false" ht="15" hidden="false" customHeight="false" outlineLevel="0" collapsed="false">
      <c r="A73" s="12" t="n">
        <v>42496</v>
      </c>
      <c r="B73" s="13" t="n">
        <v>1318</v>
      </c>
      <c r="C73" s="14" t="n">
        <f aca="false">MIN(52,INT((A73-DATE(YEAR(A73),1,1))/7)+1)</f>
        <v>19</v>
      </c>
      <c r="D73" s="15" t="n">
        <v>9658</v>
      </c>
      <c r="E73" s="15" t="n">
        <v>223011</v>
      </c>
      <c r="F73" s="15" t="n">
        <v>278000</v>
      </c>
      <c r="G73" s="16" t="n">
        <f aca="false">$M$3+$M$4*B73</f>
        <v>9300.96443043207</v>
      </c>
      <c r="H73" s="17" t="n">
        <f aca="false">D73/G73</f>
        <v>1.03838694064884</v>
      </c>
      <c r="I73" s="18" t="n">
        <f aca="false">INDEX('2 Seasonal Index'!$D$3:$D$54,C73)</f>
        <v>1.01337123918897</v>
      </c>
      <c r="J73" s="16" t="n">
        <f aca="false">D73/I73</f>
        <v>9530.56454190431</v>
      </c>
      <c r="O73" s="14" t="n">
        <f aca="false">B73</f>
        <v>1318</v>
      </c>
      <c r="P73" s="16" t="n">
        <f aca="false">E73</f>
        <v>223011</v>
      </c>
      <c r="Q73" s="16" t="n">
        <f aca="false">F73</f>
        <v>278000</v>
      </c>
    </row>
    <row r="74" customFormat="false" ht="15" hidden="false" customHeight="false" outlineLevel="0" collapsed="false">
      <c r="A74" s="12" t="n">
        <v>42503</v>
      </c>
      <c r="B74" s="13" t="n">
        <v>1319</v>
      </c>
      <c r="C74" s="14" t="n">
        <f aca="false">MIN(52,INT((A74-DATE(YEAR(A74),1,1))/7)+1)</f>
        <v>20</v>
      </c>
      <c r="D74" s="15" t="n">
        <v>9755</v>
      </c>
      <c r="E74" s="15" t="n">
        <v>223011</v>
      </c>
      <c r="F74" s="15" t="n">
        <v>289000</v>
      </c>
      <c r="G74" s="16" t="n">
        <f aca="false">$M$3+$M$4*B74</f>
        <v>9299.79175549375</v>
      </c>
      <c r="H74" s="17" t="n">
        <f aca="false">D74/G74</f>
        <v>1.04894821910795</v>
      </c>
      <c r="I74" s="18" t="n">
        <f aca="false">INDEX('2 Seasonal Index'!$D$3:$D$54,C74)</f>
        <v>1.03551191118317</v>
      </c>
      <c r="J74" s="16" t="n">
        <f aca="false">D74/I74</f>
        <v>9420.46141106578</v>
      </c>
      <c r="O74" s="14" t="n">
        <f aca="false">B74</f>
        <v>1319</v>
      </c>
      <c r="P74" s="16" t="n">
        <f aca="false">E74</f>
        <v>223011</v>
      </c>
      <c r="Q74" s="16" t="n">
        <f aca="false">F74</f>
        <v>289000</v>
      </c>
    </row>
    <row r="75" customFormat="false" ht="15" hidden="false" customHeight="false" outlineLevel="0" collapsed="false">
      <c r="A75" s="12" t="n">
        <v>42510</v>
      </c>
      <c r="B75" s="13" t="n">
        <v>1320</v>
      </c>
      <c r="C75" s="14" t="n">
        <f aca="false">MIN(52,INT((A75-DATE(YEAR(A75),1,1))/7)+1)</f>
        <v>21</v>
      </c>
      <c r="D75" s="15" t="n">
        <v>9516</v>
      </c>
      <c r="E75" s="15" t="n">
        <v>265147</v>
      </c>
      <c r="F75" s="15" t="n">
        <v>279000</v>
      </c>
      <c r="G75" s="16" t="n">
        <f aca="false">$M$3+$M$4*B75</f>
        <v>9298.61908055543</v>
      </c>
      <c r="H75" s="17" t="n">
        <f aca="false">D75/G75</f>
        <v>1.02337776368312</v>
      </c>
      <c r="I75" s="18" t="n">
        <f aca="false">INDEX('2 Seasonal Index'!$D$3:$D$54,C75)</f>
        <v>1.0352245807811</v>
      </c>
      <c r="J75" s="16" t="n">
        <f aca="false">D75/I75</f>
        <v>9192.20831562941</v>
      </c>
      <c r="O75" s="14" t="n">
        <f aca="false">B75</f>
        <v>1320</v>
      </c>
      <c r="P75" s="16" t="n">
        <f aca="false">E75</f>
        <v>265147</v>
      </c>
      <c r="Q75" s="16" t="n">
        <f aca="false">F75</f>
        <v>279000</v>
      </c>
    </row>
    <row r="76" customFormat="false" ht="15" hidden="false" customHeight="false" outlineLevel="0" collapsed="false">
      <c r="A76" s="12" t="n">
        <v>42517</v>
      </c>
      <c r="B76" s="13" t="n">
        <v>1321</v>
      </c>
      <c r="C76" s="14" t="n">
        <f aca="false">MIN(52,INT((A76-DATE(YEAR(A76),1,1))/7)+1)</f>
        <v>22</v>
      </c>
      <c r="D76" s="15" t="n">
        <v>9716</v>
      </c>
      <c r="E76" s="15" t="n">
        <v>265147</v>
      </c>
      <c r="F76" s="15" t="n">
        <v>267000</v>
      </c>
      <c r="G76" s="16" t="n">
        <f aca="false">$M$3+$M$4*B76</f>
        <v>9297.44640561711</v>
      </c>
      <c r="H76" s="17" t="n">
        <f aca="false">D76/G76</f>
        <v>1.04501812391519</v>
      </c>
      <c r="I76" s="18" t="n">
        <f aca="false">INDEX('2 Seasonal Index'!$D$3:$D$54,C76)</f>
        <v>1.01397917017061</v>
      </c>
      <c r="J76" s="16" t="n">
        <f aca="false">D76/I76</f>
        <v>9582.05088016275</v>
      </c>
      <c r="O76" s="14" t="n">
        <f aca="false">B76</f>
        <v>1321</v>
      </c>
      <c r="P76" s="16" t="n">
        <f aca="false">E76</f>
        <v>265147</v>
      </c>
      <c r="Q76" s="16" t="n">
        <f aca="false">F76</f>
        <v>267000</v>
      </c>
    </row>
    <row r="77" customFormat="false" ht="15" hidden="false" customHeight="false" outlineLevel="0" collapsed="false">
      <c r="A77" s="12" t="n">
        <v>42524</v>
      </c>
      <c r="B77" s="13" t="n">
        <v>1322</v>
      </c>
      <c r="C77" s="14" t="n">
        <f aca="false">MIN(52,INT((A77-DATE(YEAR(A77),1,1))/7)+1)</f>
        <v>23</v>
      </c>
      <c r="D77" s="15" t="n">
        <v>9568</v>
      </c>
      <c r="E77" s="15" t="n">
        <v>265147</v>
      </c>
      <c r="F77" s="15" t="n">
        <v>263000</v>
      </c>
      <c r="G77" s="16" t="n">
        <f aca="false">$M$3+$M$4*B77</f>
        <v>9296.27373067879</v>
      </c>
      <c r="H77" s="17" t="n">
        <f aca="false">D77/G77</f>
        <v>1.02922958996189</v>
      </c>
      <c r="I77" s="18" t="n">
        <f aca="false">INDEX('2 Seasonal Index'!$D$3:$D$54,C77)</f>
        <v>1.03755973679196</v>
      </c>
      <c r="J77" s="16" t="n">
        <f aca="false">D77/I77</f>
        <v>9221.63771464706</v>
      </c>
      <c r="O77" s="14" t="n">
        <f aca="false">B77</f>
        <v>1322</v>
      </c>
      <c r="P77" s="16" t="n">
        <f aca="false">E77</f>
        <v>265147</v>
      </c>
      <c r="Q77" s="16" t="n">
        <f aca="false">F77</f>
        <v>263000</v>
      </c>
    </row>
    <row r="78" customFormat="false" ht="15" hidden="false" customHeight="false" outlineLevel="0" collapsed="false">
      <c r="A78" s="12" t="n">
        <v>42531</v>
      </c>
      <c r="B78" s="13" t="n">
        <v>1323</v>
      </c>
      <c r="C78" s="14" t="n">
        <f aca="false">MIN(52,INT((A78-DATE(YEAR(A78),1,1))/7)+1)</f>
        <v>24</v>
      </c>
      <c r="D78" s="15" t="n">
        <v>9762</v>
      </c>
      <c r="E78" s="15" t="n">
        <v>265147</v>
      </c>
      <c r="F78" s="15" t="n">
        <v>265000</v>
      </c>
      <c r="G78" s="16" t="n">
        <f aca="false">$M$3+$M$4*B78</f>
        <v>9295.10105574047</v>
      </c>
      <c r="H78" s="17" t="n">
        <f aca="false">D78/G78</f>
        <v>1.05023064746253</v>
      </c>
      <c r="I78" s="18" t="n">
        <f aca="false">INDEX('2 Seasonal Index'!$D$3:$D$54,C78)</f>
        <v>1.03445132468082</v>
      </c>
      <c r="J78" s="16" t="n">
        <f aca="false">D78/I78</f>
        <v>9436.88675057966</v>
      </c>
      <c r="O78" s="14" t="n">
        <f aca="false">B78</f>
        <v>1323</v>
      </c>
      <c r="P78" s="16" t="n">
        <f aca="false">E78</f>
        <v>265147</v>
      </c>
      <c r="Q78" s="16" t="n">
        <f aca="false">F78</f>
        <v>265000</v>
      </c>
    </row>
    <row r="79" customFormat="false" ht="15" hidden="false" customHeight="false" outlineLevel="0" collapsed="false">
      <c r="A79" s="12" t="n">
        <v>42538</v>
      </c>
      <c r="B79" s="13" t="n">
        <v>1324</v>
      </c>
      <c r="C79" s="14" t="n">
        <f aca="false">MIN(52,INT((A79-DATE(YEAR(A79),1,1))/7)+1)</f>
        <v>25</v>
      </c>
      <c r="D79" s="15" t="n">
        <v>9815</v>
      </c>
      <c r="E79" s="15" t="n">
        <v>269653</v>
      </c>
      <c r="F79" s="15" t="n">
        <v>273000</v>
      </c>
      <c r="G79" s="16" t="n">
        <f aca="false">$M$3+$M$4*B79</f>
        <v>9293.92838080215</v>
      </c>
      <c r="H79" s="17" t="n">
        <f aca="false">D79/G79</f>
        <v>1.05606580961762</v>
      </c>
      <c r="I79" s="18" t="n">
        <f aca="false">INDEX('2 Seasonal Index'!$D$3:$D$54,C79)</f>
        <v>1.03606069309931</v>
      </c>
      <c r="J79" s="16" t="n">
        <f aca="false">D79/I79</f>
        <v>9473.38323456618</v>
      </c>
      <c r="O79" s="14" t="n">
        <f aca="false">B79</f>
        <v>1324</v>
      </c>
      <c r="P79" s="16" t="n">
        <f aca="false">E79</f>
        <v>269653</v>
      </c>
      <c r="Q79" s="16" t="n">
        <f aca="false">F79</f>
        <v>273000</v>
      </c>
    </row>
    <row r="80" customFormat="false" ht="15" hidden="false" customHeight="false" outlineLevel="0" collapsed="false">
      <c r="A80" s="12" t="n">
        <v>42545</v>
      </c>
      <c r="B80" s="13" t="n">
        <v>1325</v>
      </c>
      <c r="C80" s="14" t="n">
        <f aca="false">MIN(52,INT((A80-DATE(YEAR(A80),1,1))/7)+1)</f>
        <v>26</v>
      </c>
      <c r="D80" s="15" t="n">
        <v>9709</v>
      </c>
      <c r="E80" s="15" t="n">
        <v>269653</v>
      </c>
      <c r="F80" s="15" t="n">
        <v>261000</v>
      </c>
      <c r="G80" s="16" t="n">
        <f aca="false">$M$3+$M$4*B80</f>
        <v>9292.75570586383</v>
      </c>
      <c r="H80" s="17" t="n">
        <f aca="false">D80/G80</f>
        <v>1.04479234226221</v>
      </c>
      <c r="I80" s="18" t="n">
        <f aca="false">INDEX('2 Seasonal Index'!$D$3:$D$54,C80)</f>
        <v>1.05775104170879</v>
      </c>
      <c r="J80" s="16" t="n">
        <f aca="false">D80/I80</f>
        <v>9178.90847388356</v>
      </c>
      <c r="O80" s="14" t="n">
        <f aca="false">B80</f>
        <v>1325</v>
      </c>
      <c r="P80" s="16" t="n">
        <f aca="false">E80</f>
        <v>269653</v>
      </c>
      <c r="Q80" s="16" t="n">
        <f aca="false">F80</f>
        <v>261000</v>
      </c>
    </row>
    <row r="81" customFormat="false" ht="15" hidden="false" customHeight="false" outlineLevel="0" collapsed="false">
      <c r="A81" s="12" t="n">
        <v>42552</v>
      </c>
      <c r="B81" s="13" t="n">
        <v>1326</v>
      </c>
      <c r="C81" s="14" t="n">
        <f aca="false">MIN(52,INT((A81-DATE(YEAR(A81),1,1))/7)+1)</f>
        <v>27</v>
      </c>
      <c r="D81" s="15" t="n">
        <v>9755</v>
      </c>
      <c r="E81" s="15" t="n">
        <v>269653</v>
      </c>
      <c r="F81" s="15" t="n">
        <v>262000</v>
      </c>
      <c r="G81" s="16" t="n">
        <f aca="false">$M$3+$M$4*B81</f>
        <v>9291.58303092551</v>
      </c>
      <c r="H81" s="17" t="n">
        <f aca="false">D81/G81</f>
        <v>1.04987492093996</v>
      </c>
      <c r="I81" s="18" t="n">
        <f aca="false">INDEX('2 Seasonal Index'!$D$3:$D$54,C81)</f>
        <v>1.02126188503389</v>
      </c>
      <c r="J81" s="16" t="n">
        <f aca="false">D81/I81</f>
        <v>9551.90842129227</v>
      </c>
      <c r="O81" s="14" t="n">
        <f aca="false">B81</f>
        <v>1326</v>
      </c>
      <c r="P81" s="16" t="n">
        <f aca="false">E81</f>
        <v>269653</v>
      </c>
      <c r="Q81" s="16" t="n">
        <f aca="false">F81</f>
        <v>262000</v>
      </c>
    </row>
    <row r="82" customFormat="false" ht="15" hidden="false" customHeight="false" outlineLevel="0" collapsed="false">
      <c r="A82" s="12" t="n">
        <v>42559</v>
      </c>
      <c r="B82" s="13" t="n">
        <v>1327</v>
      </c>
      <c r="C82" s="14" t="n">
        <f aca="false">MIN(52,INT((A82-DATE(YEAR(A82),1,1))/7)+1)</f>
        <v>28</v>
      </c>
      <c r="D82" s="15" t="n">
        <v>9671</v>
      </c>
      <c r="E82" s="15" t="n">
        <v>269653</v>
      </c>
      <c r="F82" s="15" t="n">
        <v>255000</v>
      </c>
      <c r="G82" s="16" t="n">
        <f aca="false">$M$3+$M$4*B82</f>
        <v>9290.4103559872</v>
      </c>
      <c r="H82" s="17" t="n">
        <f aca="false">D82/G82</f>
        <v>1.04096585935707</v>
      </c>
      <c r="I82" s="18" t="n">
        <f aca="false">INDEX('2 Seasonal Index'!$D$3:$D$54,C82)</f>
        <v>1.01350902481598</v>
      </c>
      <c r="J82" s="16" t="n">
        <f aca="false">D82/I82</f>
        <v>9542.09559382655</v>
      </c>
      <c r="O82" s="14" t="n">
        <f aca="false">B82</f>
        <v>1327</v>
      </c>
      <c r="P82" s="16" t="n">
        <f aca="false">E82</f>
        <v>269653</v>
      </c>
      <c r="Q82" s="16" t="n">
        <f aca="false">F82</f>
        <v>255000</v>
      </c>
    </row>
    <row r="83" customFormat="false" ht="15" hidden="false" customHeight="false" outlineLevel="0" collapsed="false">
      <c r="A83" s="12" t="n">
        <v>42566</v>
      </c>
      <c r="B83" s="13" t="n">
        <v>1328</v>
      </c>
      <c r="C83" s="14" t="n">
        <f aca="false">MIN(52,INT((A83-DATE(YEAR(A83),1,1))/7)+1)</f>
        <v>29</v>
      </c>
      <c r="D83" s="15" t="n">
        <v>9785</v>
      </c>
      <c r="E83" s="15" t="n">
        <v>269653</v>
      </c>
      <c r="F83" s="15" t="n">
        <v>252000</v>
      </c>
      <c r="G83" s="16" t="n">
        <f aca="false">$M$3+$M$4*B83</f>
        <v>9289.23768104888</v>
      </c>
      <c r="H83" s="17" t="n">
        <f aca="false">D83/G83</f>
        <v>1.05336953752002</v>
      </c>
      <c r="I83" s="18" t="n">
        <f aca="false">INDEX('2 Seasonal Index'!$D$3:$D$54,C83)</f>
        <v>1.05195667886475</v>
      </c>
      <c r="J83" s="16" t="n">
        <f aca="false">D83/I83</f>
        <v>9301.71384106781</v>
      </c>
      <c r="O83" s="14" t="n">
        <f aca="false">B83</f>
        <v>1328</v>
      </c>
      <c r="P83" s="16" t="n">
        <f aca="false">E83</f>
        <v>269653</v>
      </c>
      <c r="Q83" s="16" t="n">
        <f aca="false">F83</f>
        <v>252000</v>
      </c>
    </row>
    <row r="84" customFormat="false" ht="15" hidden="false" customHeight="false" outlineLevel="0" collapsed="false">
      <c r="A84" s="12" t="n">
        <v>42573</v>
      </c>
      <c r="B84" s="13" t="n">
        <v>1329</v>
      </c>
      <c r="C84" s="14" t="n">
        <f aca="false">MIN(52,INT((A84-DATE(YEAR(A84),1,1))/7)+1)</f>
        <v>30</v>
      </c>
      <c r="D84" s="15" t="n">
        <v>9797</v>
      </c>
      <c r="E84" s="15" t="n">
        <v>277972</v>
      </c>
      <c r="F84" s="15" t="n">
        <v>260000</v>
      </c>
      <c r="G84" s="16" t="n">
        <f aca="false">$M$3+$M$4*B84</f>
        <v>9288.06500611056</v>
      </c>
      <c r="H84" s="17" t="n">
        <f aca="false">D84/G84</f>
        <v>1.05479451247968</v>
      </c>
      <c r="I84" s="18" t="n">
        <f aca="false">INDEX('2 Seasonal Index'!$D$3:$D$54,C84)</f>
        <v>1.03171304153628</v>
      </c>
      <c r="J84" s="16" t="n">
        <f aca="false">D84/I84</f>
        <v>9495.85747739673</v>
      </c>
      <c r="O84" s="14" t="n">
        <f aca="false">B84</f>
        <v>1329</v>
      </c>
      <c r="P84" s="16" t="n">
        <f aca="false">E84</f>
        <v>277972</v>
      </c>
      <c r="Q84" s="16" t="n">
        <f aca="false">F84</f>
        <v>260000</v>
      </c>
    </row>
    <row r="85" customFormat="false" ht="15" hidden="false" customHeight="false" outlineLevel="0" collapsed="false">
      <c r="A85" s="12" t="n">
        <v>42580</v>
      </c>
      <c r="B85" s="13" t="n">
        <v>1330</v>
      </c>
      <c r="C85" s="14" t="n">
        <f aca="false">MIN(52,INT((A85-DATE(YEAR(A85),1,1))/7)+1)</f>
        <v>31</v>
      </c>
      <c r="D85" s="15" t="n">
        <v>9752</v>
      </c>
      <c r="E85" s="15" t="n">
        <v>277972</v>
      </c>
      <c r="F85" s="15" t="n">
        <v>264000</v>
      </c>
      <c r="G85" s="16" t="n">
        <f aca="false">$M$3+$M$4*B85</f>
        <v>9286.89233117224</v>
      </c>
      <c r="H85" s="17" t="n">
        <f aca="false">D85/G85</f>
        <v>1.05008216443585</v>
      </c>
      <c r="I85" s="18" t="n">
        <f aca="false">INDEX('2 Seasonal Index'!$D$3:$D$54,C85)</f>
        <v>1.03997322006122</v>
      </c>
      <c r="J85" s="16" t="n">
        <f aca="false">D85/I85</f>
        <v>9377.16453835796</v>
      </c>
      <c r="O85" s="14" t="n">
        <f aca="false">B85</f>
        <v>1330</v>
      </c>
      <c r="P85" s="16" t="n">
        <f aca="false">E85</f>
        <v>277972</v>
      </c>
      <c r="Q85" s="16" t="n">
        <f aca="false">F85</f>
        <v>264000</v>
      </c>
    </row>
    <row r="86" customFormat="false" ht="15" hidden="false" customHeight="false" outlineLevel="0" collapsed="false">
      <c r="A86" s="12" t="n">
        <v>42587</v>
      </c>
      <c r="B86" s="13" t="n">
        <v>1331</v>
      </c>
      <c r="C86" s="14" t="n">
        <f aca="false">MIN(52,INT((A86-DATE(YEAR(A86),1,1))/7)+1)</f>
        <v>32</v>
      </c>
      <c r="D86" s="15" t="n">
        <v>9769</v>
      </c>
      <c r="E86" s="15" t="n">
        <v>277972</v>
      </c>
      <c r="F86" s="15" t="n">
        <v>266000</v>
      </c>
      <c r="G86" s="16" t="n">
        <f aca="false">$M$3+$M$4*B86</f>
        <v>9285.71965623392</v>
      </c>
      <c r="H86" s="17" t="n">
        <f aca="false">D86/G86</f>
        <v>1.05204554538125</v>
      </c>
      <c r="I86" s="18" t="n">
        <f aca="false">INDEX('2 Seasonal Index'!$D$3:$D$54,C86)</f>
        <v>1.04061693174176</v>
      </c>
      <c r="J86" s="16" t="n">
        <f aca="false">D86/I86</f>
        <v>9387.7004131087</v>
      </c>
      <c r="O86" s="14" t="n">
        <f aca="false">B86</f>
        <v>1331</v>
      </c>
      <c r="P86" s="16" t="n">
        <f aca="false">E86</f>
        <v>277972</v>
      </c>
      <c r="Q86" s="16" t="n">
        <f aca="false">F86</f>
        <v>266000</v>
      </c>
    </row>
    <row r="87" customFormat="false" ht="15" hidden="false" customHeight="false" outlineLevel="0" collapsed="false">
      <c r="A87" s="12" t="n">
        <v>42594</v>
      </c>
      <c r="B87" s="13" t="n">
        <v>1332</v>
      </c>
      <c r="C87" s="14" t="n">
        <f aca="false">MIN(52,INT((A87-DATE(YEAR(A87),1,1))/7)+1)</f>
        <v>33</v>
      </c>
      <c r="D87" s="15" t="n">
        <v>9762</v>
      </c>
      <c r="E87" s="15" t="n">
        <v>277972</v>
      </c>
      <c r="F87" s="15" t="n">
        <v>265000</v>
      </c>
      <c r="G87" s="16" t="n">
        <f aca="false">$M$3+$M$4*B87</f>
        <v>9284.5469812956</v>
      </c>
      <c r="H87" s="17" t="n">
        <f aca="false">D87/G87</f>
        <v>1.05142448195548</v>
      </c>
      <c r="I87" s="18" t="n">
        <f aca="false">INDEX('2 Seasonal Index'!$D$3:$D$54,C87)</f>
        <v>1.02747806583438</v>
      </c>
      <c r="J87" s="16" t="n">
        <f aca="false">D87/I87</f>
        <v>9500.93274455705</v>
      </c>
      <c r="O87" s="14" t="n">
        <f aca="false">B87</f>
        <v>1332</v>
      </c>
      <c r="P87" s="16" t="n">
        <f aca="false">E87</f>
        <v>277972</v>
      </c>
      <c r="Q87" s="16" t="n">
        <f aca="false">F87</f>
        <v>265000</v>
      </c>
    </row>
    <row r="88" customFormat="false" ht="15" hidden="false" customHeight="false" outlineLevel="0" collapsed="false">
      <c r="A88" s="12" t="n">
        <v>42601</v>
      </c>
      <c r="B88" s="13" t="n">
        <v>1333</v>
      </c>
      <c r="C88" s="14" t="n">
        <f aca="false">MIN(52,INT((A88-DATE(YEAR(A88),1,1))/7)+1)</f>
        <v>34</v>
      </c>
      <c r="D88" s="15" t="n">
        <v>9659</v>
      </c>
      <c r="E88" s="15" t="n">
        <v>276991</v>
      </c>
      <c r="F88" s="15" t="n">
        <v>264000</v>
      </c>
      <c r="G88" s="16" t="n">
        <f aca="false">$M$3+$M$4*B88</f>
        <v>9283.37430635728</v>
      </c>
      <c r="H88" s="17" t="n">
        <f aca="false">D88/G88</f>
        <v>1.04046219415989</v>
      </c>
      <c r="I88" s="18" t="n">
        <f aca="false">INDEX('2 Seasonal Index'!$D$3:$D$54,C88)</f>
        <v>1.03816398467415</v>
      </c>
      <c r="J88" s="16" t="n">
        <f aca="false">D88/I88</f>
        <v>9303.92514341722</v>
      </c>
      <c r="O88" s="14" t="n">
        <f aca="false">B88</f>
        <v>1333</v>
      </c>
      <c r="P88" s="16" t="n">
        <f aca="false">E88</f>
        <v>276991</v>
      </c>
      <c r="Q88" s="16" t="n">
        <f aca="false">F88</f>
        <v>264000</v>
      </c>
    </row>
    <row r="89" customFormat="false" ht="15" hidden="false" customHeight="false" outlineLevel="0" collapsed="false">
      <c r="A89" s="12" t="n">
        <v>42608</v>
      </c>
      <c r="B89" s="13" t="n">
        <v>1334</v>
      </c>
      <c r="C89" s="14" t="n">
        <f aca="false">MIN(52,INT((A89-DATE(YEAR(A89),1,1))/7)+1)</f>
        <v>35</v>
      </c>
      <c r="D89" s="15" t="n">
        <v>9511</v>
      </c>
      <c r="E89" s="15" t="n">
        <v>276991</v>
      </c>
      <c r="F89" s="15" t="n">
        <v>264000</v>
      </c>
      <c r="G89" s="16" t="n">
        <f aca="false">$M$3+$M$4*B89</f>
        <v>9282.20163141896</v>
      </c>
      <c r="H89" s="17" t="n">
        <f aca="false">D89/G89</f>
        <v>1.02464914873284</v>
      </c>
      <c r="I89" s="18" t="n">
        <f aca="false">INDEX('2 Seasonal Index'!$D$3:$D$54,C89)</f>
        <v>1.02246595866814</v>
      </c>
      <c r="J89" s="16" t="n">
        <f aca="false">D89/I89</f>
        <v>9302.02117671379</v>
      </c>
      <c r="O89" s="14" t="n">
        <f aca="false">B89</f>
        <v>1334</v>
      </c>
      <c r="P89" s="16" t="n">
        <f aca="false">E89</f>
        <v>276991</v>
      </c>
      <c r="Q89" s="16" t="n">
        <f aca="false">F89</f>
        <v>264000</v>
      </c>
    </row>
    <row r="90" customFormat="false" ht="15" hidden="false" customHeight="false" outlineLevel="0" collapsed="false">
      <c r="A90" s="12" t="n">
        <v>42615</v>
      </c>
      <c r="B90" s="13" t="n">
        <v>1335</v>
      </c>
      <c r="C90" s="14" t="n">
        <f aca="false">MIN(52,INT((A90-DATE(YEAR(A90),1,1))/7)+1)</f>
        <v>36</v>
      </c>
      <c r="D90" s="15" t="n">
        <v>9595</v>
      </c>
      <c r="E90" s="15" t="n">
        <v>276991</v>
      </c>
      <c r="F90" s="15" t="n">
        <v>261000</v>
      </c>
      <c r="G90" s="16" t="n">
        <f aca="false">$M$3+$M$4*B90</f>
        <v>9281.02895648064</v>
      </c>
      <c r="H90" s="17" t="n">
        <f aca="false">D90/G90</f>
        <v>1.03382933562556</v>
      </c>
      <c r="I90" s="18" t="n">
        <f aca="false">INDEX('2 Seasonal Index'!$D$3:$D$54,C90)</f>
        <v>1.00361083828068</v>
      </c>
      <c r="J90" s="16" t="n">
        <f aca="false">D90/I90</f>
        <v>9560.47865768127</v>
      </c>
      <c r="O90" s="14" t="n">
        <f aca="false">B90</f>
        <v>1335</v>
      </c>
      <c r="P90" s="16" t="n">
        <f aca="false">E90</f>
        <v>276991</v>
      </c>
      <c r="Q90" s="16" t="n">
        <f aca="false">F90</f>
        <v>261000</v>
      </c>
    </row>
    <row r="91" customFormat="false" ht="15" hidden="false" customHeight="false" outlineLevel="0" collapsed="false">
      <c r="A91" s="12" t="n">
        <v>42622</v>
      </c>
      <c r="B91" s="13" t="n">
        <v>1336</v>
      </c>
      <c r="C91" s="14" t="n">
        <f aca="false">MIN(52,INT((A91-DATE(YEAR(A91),1,1))/7)+1)</f>
        <v>37</v>
      </c>
      <c r="D91" s="15" t="n">
        <v>9406</v>
      </c>
      <c r="E91" s="15" t="n">
        <v>276991</v>
      </c>
      <c r="F91" s="15" t="n">
        <v>257000</v>
      </c>
      <c r="G91" s="16" t="n">
        <f aca="false">$M$3+$M$4*B91</f>
        <v>9279.85628154232</v>
      </c>
      <c r="H91" s="17" t="n">
        <f aca="false">D91/G91</f>
        <v>1.01359328362753</v>
      </c>
      <c r="I91" s="18" t="n">
        <f aca="false">INDEX('2 Seasonal Index'!$D$3:$D$54,C91)</f>
        <v>0.988109440121203</v>
      </c>
      <c r="J91" s="16" t="n">
        <f aca="false">D91/I91</f>
        <v>9519.18848062644</v>
      </c>
      <c r="O91" s="14" t="n">
        <f aca="false">B91</f>
        <v>1336</v>
      </c>
      <c r="P91" s="16" t="n">
        <f aca="false">E91</f>
        <v>276991</v>
      </c>
      <c r="Q91" s="16" t="n">
        <f aca="false">F91</f>
        <v>257000</v>
      </c>
    </row>
    <row r="92" customFormat="false" ht="15" hidden="false" customHeight="false" outlineLevel="0" collapsed="false">
      <c r="A92" s="12" t="n">
        <v>42629</v>
      </c>
      <c r="B92" s="13" t="n">
        <v>1337</v>
      </c>
      <c r="C92" s="14" t="n">
        <f aca="false">MIN(52,INT((A92-DATE(YEAR(A92),1,1))/7)+1)</f>
        <v>38</v>
      </c>
      <c r="D92" s="15" t="n">
        <v>9650</v>
      </c>
      <c r="E92" s="15" t="n">
        <v>285160</v>
      </c>
      <c r="F92" s="15" t="n">
        <v>252000</v>
      </c>
      <c r="G92" s="16" t="n">
        <f aca="false">$M$3+$M$4*B92</f>
        <v>9278.68360660401</v>
      </c>
      <c r="H92" s="17" t="n">
        <f aca="false">D92/G92</f>
        <v>1.0400182190857</v>
      </c>
      <c r="I92" s="18" t="n">
        <f aca="false">INDEX('2 Seasonal Index'!$D$3:$D$54,C92)</f>
        <v>1.00996081852754</v>
      </c>
      <c r="J92" s="16" t="n">
        <f aca="false">D92/I92</f>
        <v>9554.82611104571</v>
      </c>
      <c r="O92" s="14" t="n">
        <f aca="false">B92</f>
        <v>1337</v>
      </c>
      <c r="P92" s="16" t="n">
        <f aca="false">E92</f>
        <v>285160</v>
      </c>
      <c r="Q92" s="16" t="n">
        <f aca="false">F92</f>
        <v>252000</v>
      </c>
    </row>
    <row r="93" customFormat="false" ht="15" hidden="false" customHeight="false" outlineLevel="0" collapsed="false">
      <c r="A93" s="12" t="n">
        <v>42636</v>
      </c>
      <c r="B93" s="13" t="n">
        <v>1338</v>
      </c>
      <c r="C93" s="14" t="n">
        <f aca="false">MIN(52,INT((A93-DATE(YEAR(A93),1,1))/7)+1)</f>
        <v>39</v>
      </c>
      <c r="D93" s="15" t="n">
        <v>8880</v>
      </c>
      <c r="E93" s="15" t="n">
        <v>285160</v>
      </c>
      <c r="F93" s="15" t="n">
        <v>250000</v>
      </c>
      <c r="G93" s="16" t="n">
        <f aca="false">$M$3+$M$4*B93</f>
        <v>9277.51093166569</v>
      </c>
      <c r="H93" s="17" t="n">
        <f aca="false">D93/G93</f>
        <v>0.957153278008122</v>
      </c>
      <c r="I93" s="18" t="n">
        <f aca="false">INDEX('2 Seasonal Index'!$D$3:$D$54,C93)</f>
        <v>0.982712197281613</v>
      </c>
      <c r="J93" s="16" t="n">
        <f aca="false">D93/I93</f>
        <v>9036.21632514986</v>
      </c>
      <c r="O93" s="14" t="n">
        <f aca="false">B93</f>
        <v>1338</v>
      </c>
      <c r="P93" s="16" t="n">
        <f aca="false">E93</f>
        <v>285160</v>
      </c>
      <c r="Q93" s="16" t="n">
        <f aca="false">F93</f>
        <v>250000</v>
      </c>
    </row>
    <row r="94" customFormat="false" ht="15" hidden="false" customHeight="false" outlineLevel="0" collapsed="false">
      <c r="A94" s="12" t="n">
        <v>42643</v>
      </c>
      <c r="B94" s="13" t="n">
        <v>1339</v>
      </c>
      <c r="C94" s="14" t="n">
        <f aca="false">MIN(52,INT((A94-DATE(YEAR(A94),1,1))/7)+1)</f>
        <v>40</v>
      </c>
      <c r="D94" s="15" t="n">
        <v>9390</v>
      </c>
      <c r="E94" s="15" t="n">
        <v>285160</v>
      </c>
      <c r="F94" s="15" t="n">
        <v>247000</v>
      </c>
      <c r="G94" s="16" t="n">
        <f aca="false">$M$3+$M$4*B94</f>
        <v>9276.33825672737</v>
      </c>
      <c r="H94" s="17" t="n">
        <f aca="false">D94/G94</f>
        <v>1.01225286747065</v>
      </c>
      <c r="I94" s="18" t="n">
        <f aca="false">INDEX('2 Seasonal Index'!$D$3:$D$54,C94)</f>
        <v>1.0036663428041</v>
      </c>
      <c r="J94" s="16" t="n">
        <f aca="false">D94/I94</f>
        <v>9355.69880102357</v>
      </c>
      <c r="O94" s="14" t="n">
        <f aca="false">B94</f>
        <v>1339</v>
      </c>
      <c r="P94" s="16" t="n">
        <f aca="false">E94</f>
        <v>285160</v>
      </c>
      <c r="Q94" s="16" t="n">
        <f aca="false">F94</f>
        <v>247000</v>
      </c>
    </row>
    <row r="95" customFormat="false" ht="15" hidden="false" customHeight="false" outlineLevel="0" collapsed="false">
      <c r="A95" s="12" t="n">
        <v>42650</v>
      </c>
      <c r="B95" s="13" t="n">
        <v>1340</v>
      </c>
      <c r="C95" s="14" t="n">
        <f aca="false">MIN(52,INT((A95-DATE(YEAR(A95),1,1))/7)+1)</f>
        <v>41</v>
      </c>
      <c r="D95" s="15" t="n">
        <v>9264</v>
      </c>
      <c r="E95" s="15" t="n">
        <v>285160</v>
      </c>
      <c r="F95" s="15" t="n">
        <v>245000</v>
      </c>
      <c r="G95" s="16" t="n">
        <f aca="false">$M$3+$M$4*B95</f>
        <v>9275.16558178905</v>
      </c>
      <c r="H95" s="17" t="n">
        <f aca="false">D95/G95</f>
        <v>0.998796185179597</v>
      </c>
      <c r="I95" s="18" t="n">
        <f aca="false">INDEX('2 Seasonal Index'!$D$3:$D$54,C95)</f>
        <v>0.995835782550445</v>
      </c>
      <c r="J95" s="16" t="n">
        <f aca="false">D95/I95</f>
        <v>9302.73862651719</v>
      </c>
      <c r="O95" s="14" t="n">
        <f aca="false">B95</f>
        <v>1340</v>
      </c>
      <c r="P95" s="16" t="n">
        <f aca="false">E95</f>
        <v>285160</v>
      </c>
      <c r="Q95" s="16" t="n">
        <f aca="false">F95</f>
        <v>245000</v>
      </c>
    </row>
    <row r="96" customFormat="false" ht="15" hidden="false" customHeight="false" outlineLevel="0" collapsed="false">
      <c r="A96" s="12" t="n">
        <v>42657</v>
      </c>
      <c r="B96" s="13" t="n">
        <v>1341</v>
      </c>
      <c r="C96" s="14" t="n">
        <f aca="false">MIN(52,INT((A96-DATE(YEAR(A96),1,1))/7)+1)</f>
        <v>42</v>
      </c>
      <c r="D96" s="15" t="n">
        <v>8798</v>
      </c>
      <c r="E96" s="15" t="n">
        <v>285160</v>
      </c>
      <c r="F96" s="15" t="n">
        <v>250000</v>
      </c>
      <c r="G96" s="16" t="n">
        <f aca="false">$M$3+$M$4*B96</f>
        <v>9273.99290685073</v>
      </c>
      <c r="H96" s="17" t="n">
        <f aca="false">D96/G96</f>
        <v>0.94867443703789</v>
      </c>
      <c r="I96" s="18" t="n">
        <f aca="false">INDEX('2 Seasonal Index'!$D$3:$D$54,C96)</f>
        <v>1.00307364557144</v>
      </c>
      <c r="J96" s="16" t="n">
        <f aca="false">D96/I96</f>
        <v>8771.04092889196</v>
      </c>
      <c r="O96" s="14" t="n">
        <f aca="false">B96</f>
        <v>1341</v>
      </c>
      <c r="P96" s="16" t="n">
        <f aca="false">E96</f>
        <v>285160</v>
      </c>
      <c r="Q96" s="16" t="n">
        <f aca="false">F96</f>
        <v>250000</v>
      </c>
    </row>
    <row r="97" customFormat="false" ht="15" hidden="false" customHeight="false" outlineLevel="0" collapsed="false">
      <c r="A97" s="12" t="n">
        <v>42664</v>
      </c>
      <c r="B97" s="13" t="n">
        <v>1342</v>
      </c>
      <c r="C97" s="14" t="n">
        <f aca="false">MIN(52,INT((A97-DATE(YEAR(A97),1,1))/7)+1)</f>
        <v>43</v>
      </c>
      <c r="D97" s="15" t="n">
        <v>9118</v>
      </c>
      <c r="E97" s="15" t="n">
        <v>279213</v>
      </c>
      <c r="F97" s="15" t="n">
        <v>263000</v>
      </c>
      <c r="G97" s="16" t="n">
        <f aca="false">$M$3+$M$4*B97</f>
        <v>9272.82023191241</v>
      </c>
      <c r="H97" s="17" t="n">
        <f aca="false">D97/G97</f>
        <v>0.983303867858929</v>
      </c>
      <c r="I97" s="18" t="n">
        <f aca="false">INDEX('2 Seasonal Index'!$D$3:$D$54,C97)</f>
        <v>1.01224087755293</v>
      </c>
      <c r="J97" s="16" t="n">
        <f aca="false">D97/I97</f>
        <v>9007.73738958511</v>
      </c>
      <c r="O97" s="14" t="n">
        <f aca="false">B97</f>
        <v>1342</v>
      </c>
      <c r="P97" s="16" t="n">
        <f aca="false">E97</f>
        <v>279213</v>
      </c>
      <c r="Q97" s="16" t="n">
        <f aca="false">F97</f>
        <v>263000</v>
      </c>
    </row>
    <row r="98" customFormat="false" ht="15" hidden="false" customHeight="false" outlineLevel="0" collapsed="false">
      <c r="A98" s="12" t="n">
        <v>42671</v>
      </c>
      <c r="B98" s="13" t="n">
        <v>1343</v>
      </c>
      <c r="C98" s="14" t="n">
        <f aca="false">MIN(52,INT((A98-DATE(YEAR(A98),1,1))/7)+1)</f>
        <v>44</v>
      </c>
      <c r="D98" s="15" t="n">
        <v>9183</v>
      </c>
      <c r="E98" s="15" t="n">
        <v>279213</v>
      </c>
      <c r="F98" s="15" t="n">
        <v>256000</v>
      </c>
      <c r="G98" s="16" t="n">
        <f aca="false">$M$3+$M$4*B98</f>
        <v>9271.64755697409</v>
      </c>
      <c r="H98" s="17" t="n">
        <f aca="false">D98/G98</f>
        <v>0.990438856046959</v>
      </c>
      <c r="I98" s="18" t="n">
        <f aca="false">INDEX('2 Seasonal Index'!$D$3:$D$54,C98)</f>
        <v>1.01203159220993</v>
      </c>
      <c r="J98" s="16" t="n">
        <f aca="false">D98/I98</f>
        <v>9073.82740883361</v>
      </c>
      <c r="O98" s="14" t="n">
        <f aca="false">B98</f>
        <v>1343</v>
      </c>
      <c r="P98" s="16" t="n">
        <f aca="false">E98</f>
        <v>279213</v>
      </c>
      <c r="Q98" s="16" t="n">
        <f aca="false">F98</f>
        <v>256000</v>
      </c>
    </row>
    <row r="99" customFormat="false" ht="15" hidden="false" customHeight="false" outlineLevel="0" collapsed="false">
      <c r="A99" s="12" t="n">
        <v>42678</v>
      </c>
      <c r="B99" s="13" t="n">
        <v>1344</v>
      </c>
      <c r="C99" s="14" t="n">
        <f aca="false">MIN(52,INT((A99-DATE(YEAR(A99),1,1))/7)+1)</f>
        <v>45</v>
      </c>
      <c r="D99" s="15" t="n">
        <v>9213</v>
      </c>
      <c r="E99" s="15" t="n">
        <v>279213</v>
      </c>
      <c r="F99" s="15" t="n">
        <v>265000</v>
      </c>
      <c r="G99" s="16" t="n">
        <f aca="false">$M$3+$M$4*B99</f>
        <v>9270.47488203577</v>
      </c>
      <c r="H99" s="17" t="n">
        <f aca="false">D99/G99</f>
        <v>0.993800222451695</v>
      </c>
      <c r="I99" s="18" t="n">
        <f aca="false">INDEX('2 Seasonal Index'!$D$3:$D$54,C99)</f>
        <v>1.01104078083898</v>
      </c>
      <c r="J99" s="16" t="n">
        <f aca="false">D99/I99</f>
        <v>9112.39207616821</v>
      </c>
      <c r="O99" s="14" t="n">
        <f aca="false">B99</f>
        <v>1344</v>
      </c>
      <c r="P99" s="16" t="n">
        <f aca="false">E99</f>
        <v>279213</v>
      </c>
      <c r="Q99" s="16" t="n">
        <f aca="false">F99</f>
        <v>265000</v>
      </c>
    </row>
    <row r="100" customFormat="false" ht="15" hidden="false" customHeight="false" outlineLevel="0" collapsed="false">
      <c r="A100" s="12" t="n">
        <v>42685</v>
      </c>
      <c r="B100" s="13" t="n">
        <v>1345</v>
      </c>
      <c r="C100" s="14" t="n">
        <f aca="false">MIN(52,INT((A100-DATE(YEAR(A100),1,1))/7)+1)</f>
        <v>46</v>
      </c>
      <c r="D100" s="15" t="n">
        <v>9359</v>
      </c>
      <c r="E100" s="15" t="n">
        <v>279213</v>
      </c>
      <c r="F100" s="15" t="n">
        <v>250000</v>
      </c>
      <c r="G100" s="16" t="n">
        <f aca="false">$M$3+$M$4*B100</f>
        <v>9269.30220709745</v>
      </c>
      <c r="H100" s="17" t="n">
        <f aca="false">D100/G100</f>
        <v>1.00967686573363</v>
      </c>
      <c r="I100" s="18" t="n">
        <f aca="false">INDEX('2 Seasonal Index'!$D$3:$D$54,C100)</f>
        <v>0.986356106092814</v>
      </c>
      <c r="J100" s="16" t="n">
        <f aca="false">D100/I100</f>
        <v>9488.45953524147</v>
      </c>
      <c r="O100" s="14" t="n">
        <f aca="false">B100</f>
        <v>1345</v>
      </c>
      <c r="P100" s="16" t="n">
        <f aca="false">E100</f>
        <v>279213</v>
      </c>
      <c r="Q100" s="16" t="n">
        <f aca="false">F100</f>
        <v>250000</v>
      </c>
    </row>
    <row r="101" customFormat="false" ht="15" hidden="false" customHeight="false" outlineLevel="0" collapsed="false">
      <c r="A101" s="12" t="n">
        <v>42692</v>
      </c>
      <c r="B101" s="13" t="n">
        <v>1346</v>
      </c>
      <c r="C101" s="14" t="n">
        <f aca="false">MIN(52,INT((A101-DATE(YEAR(A101),1,1))/7)+1)</f>
        <v>47</v>
      </c>
      <c r="D101" s="15" t="n">
        <v>9024</v>
      </c>
      <c r="E101" s="15" t="n">
        <v>262039</v>
      </c>
      <c r="F101" s="15" t="n">
        <v>232000</v>
      </c>
      <c r="G101" s="16" t="n">
        <f aca="false">$M$3+$M$4*B101</f>
        <v>9268.12953215913</v>
      </c>
      <c r="H101" s="17" t="n">
        <f aca="false">D101/G101</f>
        <v>0.973659244693113</v>
      </c>
      <c r="I101" s="18" t="n">
        <f aca="false">INDEX('2 Seasonal Index'!$D$3:$D$54,C101)</f>
        <v>0.965789408729148</v>
      </c>
      <c r="J101" s="16" t="n">
        <f aca="false">D101/I101</f>
        <v>9343.65185457397</v>
      </c>
      <c r="O101" s="14" t="n">
        <f aca="false">B101</f>
        <v>1346</v>
      </c>
      <c r="P101" s="16" t="n">
        <f aca="false">E101</f>
        <v>262039</v>
      </c>
      <c r="Q101" s="16" t="n">
        <f aca="false">F101</f>
        <v>232000</v>
      </c>
    </row>
    <row r="102" customFormat="false" ht="15" hidden="false" customHeight="false" outlineLevel="0" collapsed="false">
      <c r="A102" s="12" t="n">
        <v>42699</v>
      </c>
      <c r="B102" s="13" t="n">
        <v>1347</v>
      </c>
      <c r="C102" s="14" t="n">
        <f aca="false">MIN(52,INT((A102-DATE(YEAR(A102),1,1))/7)+1)</f>
        <v>48</v>
      </c>
      <c r="D102" s="15" t="n">
        <v>9080</v>
      </c>
      <c r="E102" s="15" t="n">
        <v>262039</v>
      </c>
      <c r="F102" s="15" t="n">
        <v>246000</v>
      </c>
      <c r="G102" s="16" t="n">
        <f aca="false">$M$3+$M$4*B102</f>
        <v>9266.95685722081</v>
      </c>
      <c r="H102" s="17" t="n">
        <f aca="false">D102/G102</f>
        <v>0.979825431357745</v>
      </c>
      <c r="I102" s="18" t="n">
        <f aca="false">INDEX('2 Seasonal Index'!$D$3:$D$54,C102)</f>
        <v>0.974753768618106</v>
      </c>
      <c r="J102" s="16" t="n">
        <f aca="false">D102/I102</f>
        <v>9315.17301325501</v>
      </c>
      <c r="O102" s="14" t="n">
        <f aca="false">B102</f>
        <v>1347</v>
      </c>
      <c r="P102" s="16" t="n">
        <f aca="false">E102</f>
        <v>262039</v>
      </c>
      <c r="Q102" s="16" t="n">
        <f aca="false">F102</f>
        <v>246000</v>
      </c>
    </row>
    <row r="103" customFormat="false" ht="15" hidden="false" customHeight="false" outlineLevel="0" collapsed="false">
      <c r="A103" s="12" t="n">
        <v>42706</v>
      </c>
      <c r="B103" s="13" t="n">
        <v>1348</v>
      </c>
      <c r="C103" s="14" t="n">
        <f aca="false">MIN(52,INT((A103-DATE(YEAR(A103),1,1))/7)+1)</f>
        <v>49</v>
      </c>
      <c r="D103" s="15" t="n">
        <v>8757</v>
      </c>
      <c r="E103" s="15" t="n">
        <v>262039</v>
      </c>
      <c r="F103" s="15" t="n">
        <v>255000</v>
      </c>
      <c r="G103" s="16" t="n">
        <f aca="false">$M$3+$M$4*B103</f>
        <v>9265.7841822825</v>
      </c>
      <c r="H103" s="17" t="n">
        <f aca="false">D103/G103</f>
        <v>0.945090002931931</v>
      </c>
      <c r="I103" s="18" t="n">
        <f aca="false">INDEX('2 Seasonal Index'!$D$3:$D$54,C103)</f>
        <v>0.980293720669235</v>
      </c>
      <c r="J103" s="16" t="n">
        <f aca="false">D103/I103</f>
        <v>8933.03692083399</v>
      </c>
      <c r="O103" s="14" t="n">
        <f aca="false">B103</f>
        <v>1348</v>
      </c>
      <c r="P103" s="16" t="n">
        <f aca="false">E103</f>
        <v>262039</v>
      </c>
      <c r="Q103" s="16" t="n">
        <f aca="false">F103</f>
        <v>255000</v>
      </c>
    </row>
    <row r="104" customFormat="false" ht="15" hidden="false" customHeight="false" outlineLevel="0" collapsed="false">
      <c r="A104" s="12" t="n">
        <v>42713</v>
      </c>
      <c r="B104" s="13" t="n">
        <v>1349</v>
      </c>
      <c r="C104" s="14" t="n">
        <f aca="false">MIN(52,INT((A104-DATE(YEAR(A104),1,1))/7)+1)</f>
        <v>50</v>
      </c>
      <c r="D104" s="15" t="n">
        <v>8874</v>
      </c>
      <c r="E104" s="15" t="n">
        <v>262039</v>
      </c>
      <c r="F104" s="15" t="n">
        <v>248000</v>
      </c>
      <c r="G104" s="16" t="n">
        <f aca="false">$M$3+$M$4*B104</f>
        <v>9264.61150734418</v>
      </c>
      <c r="H104" s="17" t="n">
        <f aca="false">D104/G104</f>
        <v>0.957838328457212</v>
      </c>
      <c r="I104" s="18" t="n">
        <f aca="false">INDEX('2 Seasonal Index'!$D$3:$D$54,C104)</f>
        <v>1.00060911532618</v>
      </c>
      <c r="J104" s="16" t="n">
        <f aca="false">D104/I104</f>
        <v>8868.59800103584</v>
      </c>
      <c r="O104" s="14" t="n">
        <f aca="false">B104</f>
        <v>1349</v>
      </c>
      <c r="P104" s="16" t="n">
        <f aca="false">E104</f>
        <v>262039</v>
      </c>
      <c r="Q104" s="16" t="n">
        <f aca="false">F104</f>
        <v>248000</v>
      </c>
    </row>
    <row r="105" customFormat="false" ht="15" hidden="false" customHeight="false" outlineLevel="0" collapsed="false">
      <c r="A105" s="12" t="n">
        <v>42720</v>
      </c>
      <c r="B105" s="13" t="n">
        <v>1350</v>
      </c>
      <c r="C105" s="14" t="n">
        <f aca="false">MIN(52,INT((A105-DATE(YEAR(A105),1,1))/7)+1)</f>
        <v>51</v>
      </c>
      <c r="D105" s="15" t="n">
        <v>9269</v>
      </c>
      <c r="E105" s="15" t="n">
        <v>275610</v>
      </c>
      <c r="F105" s="15" t="n">
        <v>252000</v>
      </c>
      <c r="G105" s="16" t="n">
        <f aca="false">$M$3+$M$4*B105</f>
        <v>9263.43883240586</v>
      </c>
      <c r="H105" s="17" t="n">
        <f aca="false">D105/G105</f>
        <v>1.00060033511256</v>
      </c>
      <c r="I105" s="18" t="n">
        <f aca="false">INDEX('2 Seasonal Index'!$D$3:$D$54,C105)</f>
        <v>1.02197331378228</v>
      </c>
      <c r="J105" s="16" t="n">
        <f aca="false">D105/I105</f>
        <v>9069.70845030763</v>
      </c>
      <c r="O105" s="14" t="n">
        <f aca="false">B105</f>
        <v>1350</v>
      </c>
      <c r="P105" s="16" t="n">
        <f aca="false">E105</f>
        <v>275610</v>
      </c>
      <c r="Q105" s="16" t="n">
        <f aca="false">F105</f>
        <v>252000</v>
      </c>
    </row>
    <row r="106" customFormat="false" ht="15" hidden="false" customHeight="false" outlineLevel="0" collapsed="false">
      <c r="A106" s="12" t="n">
        <v>42727</v>
      </c>
      <c r="B106" s="13" t="n">
        <v>1351</v>
      </c>
      <c r="C106" s="14" t="n">
        <f aca="false">MIN(52,INT((A106-DATE(YEAR(A106),1,1))/7)+1)</f>
        <v>52</v>
      </c>
      <c r="D106" s="15" t="n">
        <v>9278</v>
      </c>
      <c r="E106" s="15" t="n">
        <v>275610</v>
      </c>
      <c r="F106" s="15" t="n">
        <v>260000</v>
      </c>
      <c r="G106" s="16" t="n">
        <f aca="false">$M$3+$M$4*B106</f>
        <v>9262.26615746754</v>
      </c>
      <c r="H106" s="17" t="n">
        <f aca="false">D106/G106</f>
        <v>1.00169870334808</v>
      </c>
      <c r="I106" s="18" t="n">
        <f aca="false">INDEX('2 Seasonal Index'!$D$3:$D$54,C106)</f>
        <v>0.941059701689701</v>
      </c>
      <c r="J106" s="16" t="n">
        <f aca="false">D106/I106</f>
        <v>9859.09818828823</v>
      </c>
      <c r="O106" s="14" t="n">
        <f aca="false">B106</f>
        <v>1351</v>
      </c>
      <c r="P106" s="16" t="n">
        <f aca="false">E106</f>
        <v>275610</v>
      </c>
      <c r="Q106" s="16" t="n">
        <f aca="false">F106</f>
        <v>260000</v>
      </c>
    </row>
    <row r="107" customFormat="false" ht="15" hidden="false" customHeight="false" outlineLevel="0" collapsed="false">
      <c r="A107" s="12" t="n">
        <v>42734</v>
      </c>
      <c r="B107" s="13" t="n">
        <v>1352</v>
      </c>
      <c r="C107" s="14" t="n">
        <f aca="false">MIN(52,INT((A107-DATE(YEAR(A107),1,1))/7)+1)</f>
        <v>52</v>
      </c>
      <c r="D107" s="15" t="n">
        <v>8465</v>
      </c>
      <c r="E107" s="15" t="n">
        <v>275610</v>
      </c>
      <c r="F107" s="15" t="n">
        <v>257000</v>
      </c>
      <c r="G107" s="16" t="n">
        <f aca="false">$M$3+$M$4*B107</f>
        <v>9261.09348252922</v>
      </c>
      <c r="H107" s="17" t="n">
        <f aca="false">D107/G107</f>
        <v>0.914038932440211</v>
      </c>
      <c r="I107" s="18" t="n">
        <f aca="false">INDEX('2 Seasonal Index'!$D$3:$D$54,C107)</f>
        <v>0.941059701689701</v>
      </c>
      <c r="J107" s="16" t="n">
        <f aca="false">D107/I107</f>
        <v>8995.17850440396</v>
      </c>
      <c r="O107" s="14" t="n">
        <f aca="false">B107</f>
        <v>1352</v>
      </c>
      <c r="P107" s="16" t="n">
        <f aca="false">E107</f>
        <v>275610</v>
      </c>
      <c r="Q107" s="16" t="n">
        <f aca="false">F107</f>
        <v>257000</v>
      </c>
    </row>
    <row r="108" customFormat="false" ht="15" hidden="false" customHeight="false" outlineLevel="0" collapsed="false">
      <c r="A108" s="12" t="n">
        <v>42741</v>
      </c>
      <c r="B108" s="13" t="n">
        <v>1353</v>
      </c>
      <c r="C108" s="14" t="n">
        <f aca="false">MIN(52,INT((A108-DATE(YEAR(A108),1,1))/7)+1)</f>
        <v>1</v>
      </c>
      <c r="D108" s="15" t="n">
        <v>8470</v>
      </c>
      <c r="E108" s="15" t="n">
        <v>275610</v>
      </c>
      <c r="F108" s="15" t="n">
        <v>244000</v>
      </c>
      <c r="G108" s="16" t="n">
        <f aca="false">$M$3+$M$4*B108</f>
        <v>9259.9208075909</v>
      </c>
      <c r="H108" s="17" t="n">
        <f aca="false">D108/G108</f>
        <v>0.914694647610447</v>
      </c>
      <c r="I108" s="18" t="n">
        <f aca="false">INDEX('2 Seasonal Index'!$D$3:$D$54,C108)</f>
        <v>0.914658189121246</v>
      </c>
      <c r="J108" s="16" t="n">
        <f aca="false">D108/I108</f>
        <v>9260.2899101986</v>
      </c>
      <c r="O108" s="14" t="n">
        <f aca="false">B108</f>
        <v>1353</v>
      </c>
      <c r="P108" s="16" t="n">
        <f aca="false">E108</f>
        <v>275610</v>
      </c>
      <c r="Q108" s="16" t="n">
        <f aca="false">F108</f>
        <v>244000</v>
      </c>
    </row>
    <row r="109" customFormat="false" ht="15" hidden="false" customHeight="false" outlineLevel="0" collapsed="false">
      <c r="A109" s="12" t="n">
        <v>42748</v>
      </c>
      <c r="B109" s="13" t="n">
        <v>1354</v>
      </c>
      <c r="C109" s="14" t="n">
        <f aca="false">MIN(52,INT((A109-DATE(YEAR(A109),1,1))/7)+1)</f>
        <v>2</v>
      </c>
      <c r="D109" s="15" t="n">
        <v>8069</v>
      </c>
      <c r="E109" s="15" t="n">
        <v>275610</v>
      </c>
      <c r="F109" s="15" t="n">
        <v>245000</v>
      </c>
      <c r="G109" s="16" t="n">
        <f aca="false">$M$3+$M$4*B109</f>
        <v>9258.74813265258</v>
      </c>
      <c r="H109" s="17" t="n">
        <f aca="false">D109/G109</f>
        <v>0.87150010826445</v>
      </c>
      <c r="I109" s="18" t="n">
        <f aca="false">INDEX('2 Seasonal Index'!$D$3:$D$54,C109)</f>
        <v>0.921123720796805</v>
      </c>
      <c r="J109" s="16" t="n">
        <f aca="false">D109/I109</f>
        <v>8759.95245570272</v>
      </c>
      <c r="O109" s="14" t="n">
        <f aca="false">B109</f>
        <v>1354</v>
      </c>
      <c r="P109" s="16" t="n">
        <f aca="false">E109</f>
        <v>275610</v>
      </c>
      <c r="Q109" s="16" t="n">
        <f aca="false">F109</f>
        <v>245000</v>
      </c>
    </row>
    <row r="110" customFormat="false" ht="15" hidden="false" customHeight="false" outlineLevel="0" collapsed="false">
      <c r="A110" s="12" t="n">
        <v>42755</v>
      </c>
      <c r="B110" s="13" t="n">
        <v>1355</v>
      </c>
      <c r="C110" s="14" t="n">
        <f aca="false">MIN(52,INT((A110-DATE(YEAR(A110),1,1))/7)+1)</f>
        <v>3</v>
      </c>
      <c r="D110" s="15" t="n">
        <v>8039</v>
      </c>
      <c r="E110" s="15" t="n">
        <v>255154</v>
      </c>
      <c r="F110" s="15" t="n">
        <v>240000</v>
      </c>
      <c r="G110" s="16" t="n">
        <f aca="false">$M$3+$M$4*B110</f>
        <v>9257.57545771426</v>
      </c>
      <c r="H110" s="17" t="n">
        <f aca="false">D110/G110</f>
        <v>0.868369913561025</v>
      </c>
      <c r="I110" s="18" t="n">
        <f aca="false">INDEX('2 Seasonal Index'!$D$3:$D$54,C110)</f>
        <v>0.932475709892495</v>
      </c>
      <c r="J110" s="16" t="n">
        <f aca="false">D110/I110</f>
        <v>8621.13609471588</v>
      </c>
      <c r="O110" s="14" t="n">
        <f aca="false">B110</f>
        <v>1355</v>
      </c>
      <c r="P110" s="16" t="n">
        <f aca="false">E110</f>
        <v>255154</v>
      </c>
      <c r="Q110" s="16" t="n">
        <f aca="false">F110</f>
        <v>240000</v>
      </c>
    </row>
    <row r="111" customFormat="false" ht="15" hidden="false" customHeight="false" outlineLevel="0" collapsed="false">
      <c r="A111" s="12" t="n">
        <v>42762</v>
      </c>
      <c r="B111" s="13" t="n">
        <v>1356</v>
      </c>
      <c r="C111" s="14" t="n">
        <f aca="false">MIN(52,INT((A111-DATE(YEAR(A111),1,1))/7)+1)</f>
        <v>4</v>
      </c>
      <c r="D111" s="15" t="n">
        <v>8310</v>
      </c>
      <c r="E111" s="15" t="n">
        <v>255154</v>
      </c>
      <c r="F111" s="15" t="n">
        <v>250000</v>
      </c>
      <c r="G111" s="16" t="n">
        <f aca="false">$M$3+$M$4*B111</f>
        <v>9256.40278277594</v>
      </c>
      <c r="H111" s="17" t="n">
        <f aca="false">D111/G111</f>
        <v>0.897756957536789</v>
      </c>
      <c r="I111" s="18" t="n">
        <f aca="false">INDEX('2 Seasonal Index'!$D$3:$D$54,C111)</f>
        <v>0.95567024426302</v>
      </c>
      <c r="J111" s="16" t="n">
        <f aca="false">D111/I111</f>
        <v>8695.4679711812</v>
      </c>
      <c r="O111" s="14" t="n">
        <f aca="false">B111</f>
        <v>1356</v>
      </c>
      <c r="P111" s="16" t="n">
        <f aca="false">E111</f>
        <v>255154</v>
      </c>
      <c r="Q111" s="16" t="n">
        <f aca="false">F111</f>
        <v>250000</v>
      </c>
    </row>
    <row r="112" customFormat="false" ht="15" hidden="false" customHeight="false" outlineLevel="0" collapsed="false">
      <c r="A112" s="12" t="n">
        <v>42769</v>
      </c>
      <c r="B112" s="13" t="n">
        <v>1357</v>
      </c>
      <c r="C112" s="14" t="n">
        <f aca="false">MIN(52,INT((A112-DATE(YEAR(A112),1,1))/7)+1)</f>
        <v>5</v>
      </c>
      <c r="D112" s="15" t="n">
        <v>8941</v>
      </c>
      <c r="E112" s="15" t="n">
        <v>255154</v>
      </c>
      <c r="F112" s="15" t="n">
        <v>241000</v>
      </c>
      <c r="G112" s="16" t="n">
        <f aca="false">$M$3+$M$4*B112</f>
        <v>9255.23010783762</v>
      </c>
      <c r="H112" s="17" t="n">
        <f aca="false">D112/G112</f>
        <v>0.966048374359539</v>
      </c>
      <c r="I112" s="18" t="n">
        <f aca="false">INDEX('2 Seasonal Index'!$D$3:$D$54,C112)</f>
        <v>0.963785211095498</v>
      </c>
      <c r="J112" s="16" t="n">
        <f aca="false">D112/I112</f>
        <v>9276.96326636627</v>
      </c>
      <c r="O112" s="14" t="n">
        <f aca="false">B112</f>
        <v>1357</v>
      </c>
      <c r="P112" s="16" t="n">
        <f aca="false">E112</f>
        <v>255154</v>
      </c>
      <c r="Q112" s="16" t="n">
        <f aca="false">F112</f>
        <v>241000</v>
      </c>
    </row>
    <row r="113" customFormat="false" ht="15" hidden="false" customHeight="false" outlineLevel="0" collapsed="false">
      <c r="A113" s="12" t="n">
        <v>42776</v>
      </c>
      <c r="B113" s="13" t="n">
        <v>1358</v>
      </c>
      <c r="C113" s="14" t="n">
        <f aca="false">MIN(52,INT((A113-DATE(YEAR(A113),1,1))/7)+1)</f>
        <v>6</v>
      </c>
      <c r="D113" s="15" t="n">
        <v>8433</v>
      </c>
      <c r="E113" s="15" t="n">
        <v>255154</v>
      </c>
      <c r="F113" s="15" t="n">
        <v>230000</v>
      </c>
      <c r="G113" s="16" t="n">
        <f aca="false">$M$3+$M$4*B113</f>
        <v>9254.0574328993</v>
      </c>
      <c r="H113" s="17" t="n">
        <f aca="false">D113/G113</f>
        <v>0.911275952321158</v>
      </c>
      <c r="I113" s="18" t="n">
        <f aca="false">INDEX('2 Seasonal Index'!$D$3:$D$54,C113)</f>
        <v>0.93990301851115</v>
      </c>
      <c r="J113" s="16" t="n">
        <f aca="false">D113/I113</f>
        <v>8972.20227397319</v>
      </c>
      <c r="O113" s="14" t="n">
        <f aca="false">B113</f>
        <v>1358</v>
      </c>
      <c r="P113" s="16" t="n">
        <f aca="false">E113</f>
        <v>255154</v>
      </c>
      <c r="Q113" s="16" t="n">
        <f aca="false">F113</f>
        <v>230000</v>
      </c>
    </row>
    <row r="114" customFormat="false" ht="15" hidden="false" customHeight="false" outlineLevel="0" collapsed="false">
      <c r="A114" s="12" t="n">
        <v>42783</v>
      </c>
      <c r="B114" s="13" t="n">
        <v>1359</v>
      </c>
      <c r="C114" s="14" t="n">
        <f aca="false">MIN(52,INT((A114-DATE(YEAR(A114),1,1))/7)+1)</f>
        <v>7</v>
      </c>
      <c r="D114" s="15" t="n">
        <v>8663</v>
      </c>
      <c r="E114" s="15" t="n">
        <v>264778</v>
      </c>
      <c r="F114" s="15" t="n">
        <v>233000</v>
      </c>
      <c r="G114" s="16" t="n">
        <f aca="false">$M$3+$M$4*B114</f>
        <v>9252.88475796099</v>
      </c>
      <c r="H114" s="17" t="n">
        <f aca="false">D114/G114</f>
        <v>0.936248556705144</v>
      </c>
      <c r="I114" s="18" t="n">
        <f aca="false">INDEX('2 Seasonal Index'!$D$3:$D$54,C114)</f>
        <v>0.963162093989007</v>
      </c>
      <c r="J114" s="16" t="n">
        <f aca="false">D114/I114</f>
        <v>8994.33237049596</v>
      </c>
      <c r="O114" s="14" t="n">
        <f aca="false">B114</f>
        <v>1359</v>
      </c>
      <c r="P114" s="16" t="n">
        <f aca="false">E114</f>
        <v>264778</v>
      </c>
      <c r="Q114" s="16" t="n">
        <f aca="false">F114</f>
        <v>233000</v>
      </c>
    </row>
    <row r="115" customFormat="false" ht="15" hidden="false" customHeight="false" outlineLevel="0" collapsed="false">
      <c r="A115" s="12" t="n">
        <v>42790</v>
      </c>
      <c r="B115" s="13" t="n">
        <v>1360</v>
      </c>
      <c r="C115" s="14" t="n">
        <f aca="false">MIN(52,INT((A115-DATE(YEAR(A115),1,1))/7)+1)</f>
        <v>8</v>
      </c>
      <c r="D115" s="15" t="n">
        <v>8686</v>
      </c>
      <c r="E115" s="15" t="n">
        <v>264778</v>
      </c>
      <c r="F115" s="15" t="n">
        <v>237000</v>
      </c>
      <c r="G115" s="16" t="n">
        <f aca="false">$M$3+$M$4*B115</f>
        <v>9251.71208302267</v>
      </c>
      <c r="H115" s="17" t="n">
        <f aca="false">D115/G115</f>
        <v>0.938853254625079</v>
      </c>
      <c r="I115" s="18" t="n">
        <f aca="false">INDEX('2 Seasonal Index'!$D$3:$D$54,C115)</f>
        <v>0.978387056473038</v>
      </c>
      <c r="J115" s="16" t="n">
        <f aca="false">D115/I115</f>
        <v>8877.87705543851</v>
      </c>
      <c r="O115" s="14" t="n">
        <f aca="false">B115</f>
        <v>1360</v>
      </c>
      <c r="P115" s="16" t="n">
        <f aca="false">E115</f>
        <v>264778</v>
      </c>
      <c r="Q115" s="16" t="n">
        <f aca="false">F115</f>
        <v>237000</v>
      </c>
    </row>
    <row r="116" customFormat="false" ht="15" hidden="false" customHeight="false" outlineLevel="0" collapsed="false">
      <c r="A116" s="12" t="n">
        <v>42797</v>
      </c>
      <c r="B116" s="13" t="n">
        <v>1361</v>
      </c>
      <c r="C116" s="14" t="n">
        <f aca="false">MIN(52,INT((A116-DATE(YEAR(A116),1,1))/7)+1)</f>
        <v>9</v>
      </c>
      <c r="D116" s="15" t="n">
        <v>9268</v>
      </c>
      <c r="E116" s="15" t="n">
        <v>264778</v>
      </c>
      <c r="F116" s="15" t="n">
        <v>221000</v>
      </c>
      <c r="G116" s="16" t="n">
        <f aca="false">$M$3+$M$4*B116</f>
        <v>9250.53940808435</v>
      </c>
      <c r="H116" s="17" t="n">
        <f aca="false">D116/G116</f>
        <v>1.00188752148879</v>
      </c>
      <c r="I116" s="18" t="n">
        <f aca="false">INDEX('2 Seasonal Index'!$D$3:$D$54,C116)</f>
        <v>0.986293676275175</v>
      </c>
      <c r="J116" s="16" t="n">
        <f aca="false">D116/I116</f>
        <v>9396.79552139219</v>
      </c>
      <c r="O116" s="14" t="n">
        <f aca="false">B116</f>
        <v>1361</v>
      </c>
      <c r="P116" s="16" t="n">
        <f aca="false">E116</f>
        <v>264778</v>
      </c>
      <c r="Q116" s="16" t="n">
        <f aca="false">F116</f>
        <v>221000</v>
      </c>
    </row>
    <row r="117" customFormat="false" ht="15" hidden="false" customHeight="false" outlineLevel="0" collapsed="false">
      <c r="A117" s="12" t="n">
        <v>42804</v>
      </c>
      <c r="B117" s="13" t="n">
        <v>1362</v>
      </c>
      <c r="C117" s="14" t="n">
        <f aca="false">MIN(52,INT((A117-DATE(YEAR(A117),1,1))/7)+1)</f>
        <v>10</v>
      </c>
      <c r="D117" s="15" t="n">
        <v>9254</v>
      </c>
      <c r="E117" s="15" t="n">
        <v>264778</v>
      </c>
      <c r="F117" s="15" t="n">
        <v>236000</v>
      </c>
      <c r="G117" s="16" t="n">
        <f aca="false">$M$3+$M$4*B117</f>
        <v>9249.36673314603</v>
      </c>
      <c r="H117" s="17" t="n">
        <f aca="false">D117/G117</f>
        <v>1.00050092800812</v>
      </c>
      <c r="I117" s="18" t="n">
        <f aca="false">INDEX('2 Seasonal Index'!$D$3:$D$54,C117)</f>
        <v>0.995274907218877</v>
      </c>
      <c r="J117" s="16" t="n">
        <f aca="false">D117/I117</f>
        <v>9297.93359892766</v>
      </c>
      <c r="O117" s="14" t="n">
        <f aca="false">B117</f>
        <v>1362</v>
      </c>
      <c r="P117" s="16" t="n">
        <f aca="false">E117</f>
        <v>264778</v>
      </c>
      <c r="Q117" s="16" t="n">
        <f aca="false">F117</f>
        <v>236000</v>
      </c>
    </row>
    <row r="118" customFormat="false" ht="15" hidden="false" customHeight="false" outlineLevel="0" collapsed="false">
      <c r="A118" s="12" t="n">
        <v>42811</v>
      </c>
      <c r="B118" s="13" t="n">
        <v>1363</v>
      </c>
      <c r="C118" s="14" t="n">
        <f aca="false">MIN(52,INT((A118-DATE(YEAR(A118),1,1))/7)+1)</f>
        <v>11</v>
      </c>
      <c r="D118" s="15" t="n">
        <v>9200</v>
      </c>
      <c r="E118" s="15" t="n">
        <v>264778</v>
      </c>
      <c r="F118" s="15" t="n">
        <v>228000</v>
      </c>
      <c r="G118" s="16" t="n">
        <f aca="false">$M$3+$M$4*B118</f>
        <v>9248.19405820771</v>
      </c>
      <c r="H118" s="17" t="n">
        <f aca="false">D118/G118</f>
        <v>0.994788814129075</v>
      </c>
      <c r="I118" s="18" t="n">
        <f aca="false">INDEX('2 Seasonal Index'!$D$3:$D$54,C118)</f>
        <v>1.00212775296089</v>
      </c>
      <c r="J118" s="16" t="n">
        <f aca="false">D118/I118</f>
        <v>9180.46623578442</v>
      </c>
      <c r="O118" s="14" t="n">
        <f aca="false">B118</f>
        <v>1363</v>
      </c>
      <c r="P118" s="16" t="n">
        <f aca="false">E118</f>
        <v>264778</v>
      </c>
      <c r="Q118" s="16" t="n">
        <f aca="false">F118</f>
        <v>228000</v>
      </c>
    </row>
    <row r="119" customFormat="false" ht="15" hidden="false" customHeight="false" outlineLevel="0" collapsed="false">
      <c r="A119" s="12" t="n">
        <v>42818</v>
      </c>
      <c r="B119" s="13" t="n">
        <v>1364</v>
      </c>
      <c r="C119" s="14" t="n">
        <f aca="false">MIN(52,INT((A119-DATE(YEAR(A119),1,1))/7)+1)</f>
        <v>12</v>
      </c>
      <c r="D119" s="15" t="n">
        <v>9524</v>
      </c>
      <c r="E119" s="15" t="n">
        <v>242600</v>
      </c>
      <c r="F119" s="15" t="n">
        <v>235000</v>
      </c>
      <c r="G119" s="16" t="n">
        <f aca="false">$M$3+$M$4*B119</f>
        <v>9247.02138326939</v>
      </c>
      <c r="H119" s="17" t="n">
        <f aca="false">D119/G119</f>
        <v>1.02995327957517</v>
      </c>
      <c r="I119" s="18" t="n">
        <f aca="false">INDEX('2 Seasonal Index'!$D$3:$D$54,C119)</f>
        <v>0.99255102448152</v>
      </c>
      <c r="J119" s="16" t="n">
        <f aca="false">D119/I119</f>
        <v>9595.47646930802</v>
      </c>
      <c r="O119" s="14" t="n">
        <f aca="false">B119</f>
        <v>1364</v>
      </c>
      <c r="P119" s="16" t="n">
        <f aca="false">E119</f>
        <v>242600</v>
      </c>
      <c r="Q119" s="16" t="n">
        <f aca="false">F119</f>
        <v>235000</v>
      </c>
    </row>
    <row r="120" customFormat="false" ht="15" hidden="false" customHeight="false" outlineLevel="0" collapsed="false">
      <c r="A120" s="12" t="n">
        <v>42825</v>
      </c>
      <c r="B120" s="13" t="n">
        <v>1365</v>
      </c>
      <c r="C120" s="14" t="n">
        <f aca="false">MIN(52,INT((A120-DATE(YEAR(A120),1,1))/7)+1)</f>
        <v>13</v>
      </c>
      <c r="D120" s="15" t="n">
        <v>9245</v>
      </c>
      <c r="E120" s="15" t="n">
        <v>242600</v>
      </c>
      <c r="F120" s="15" t="n">
        <v>236000</v>
      </c>
      <c r="G120" s="16" t="n">
        <f aca="false">$M$3+$M$4*B120</f>
        <v>9245.84870833107</v>
      </c>
      <c r="H120" s="17" t="n">
        <f aca="false">D120/G120</f>
        <v>0.999908206552168</v>
      </c>
      <c r="I120" s="18" t="n">
        <f aca="false">INDEX('2 Seasonal Index'!$D$3:$D$54,C120)</f>
        <v>1.00671990755393</v>
      </c>
      <c r="J120" s="16" t="n">
        <f aca="false">D120/I120</f>
        <v>9183.28914589852</v>
      </c>
      <c r="O120" s="14" t="n">
        <f aca="false">B120</f>
        <v>1365</v>
      </c>
      <c r="P120" s="16" t="n">
        <f aca="false">E120</f>
        <v>242600</v>
      </c>
      <c r="Q120" s="16" t="n">
        <f aca="false">F120</f>
        <v>236000</v>
      </c>
    </row>
    <row r="121" customFormat="false" ht="15" hidden="false" customHeight="false" outlineLevel="0" collapsed="false">
      <c r="A121" s="12" t="n">
        <v>42832</v>
      </c>
      <c r="B121" s="13" t="n">
        <v>1366</v>
      </c>
      <c r="C121" s="14" t="n">
        <f aca="false">MIN(52,INT((A121-DATE(YEAR(A121),1,1))/7)+1)</f>
        <v>14</v>
      </c>
      <c r="D121" s="15" t="n">
        <v>9275</v>
      </c>
      <c r="E121" s="15" t="n">
        <v>242600</v>
      </c>
      <c r="F121" s="15" t="n">
        <v>216000</v>
      </c>
      <c r="G121" s="16" t="n">
        <f aca="false">$M$3+$M$4*B121</f>
        <v>9244.67603339275</v>
      </c>
      <c r="H121" s="17" t="n">
        <f aca="false">D121/G121</f>
        <v>1.00328015459901</v>
      </c>
      <c r="I121" s="18" t="n">
        <f aca="false">INDEX('2 Seasonal Index'!$D$3:$D$54,C121)</f>
        <v>0.994713065050192</v>
      </c>
      <c r="J121" s="16" t="n">
        <f aca="false">D121/I121</f>
        <v>9324.29695143493</v>
      </c>
      <c r="O121" s="14" t="n">
        <f aca="false">B121</f>
        <v>1366</v>
      </c>
      <c r="P121" s="16" t="n">
        <f aca="false">E121</f>
        <v>242600</v>
      </c>
      <c r="Q121" s="16" t="n">
        <f aca="false">F121</f>
        <v>216000</v>
      </c>
    </row>
    <row r="122" customFormat="false" ht="15" hidden="false" customHeight="false" outlineLevel="0" collapsed="false">
      <c r="A122" s="12" t="n">
        <v>42839</v>
      </c>
      <c r="B122" s="13" t="n">
        <v>1367</v>
      </c>
      <c r="C122" s="14" t="n">
        <f aca="false">MIN(52,INT((A122-DATE(YEAR(A122),1,1))/7)+1)</f>
        <v>15</v>
      </c>
      <c r="D122" s="15" t="n">
        <v>9223</v>
      </c>
      <c r="E122" s="15" t="n">
        <v>242600</v>
      </c>
      <c r="F122" s="15" t="n">
        <v>222000</v>
      </c>
      <c r="G122" s="16" t="n">
        <f aca="false">$M$3+$M$4*B122</f>
        <v>9243.50335845443</v>
      </c>
      <c r="H122" s="17" t="n">
        <f aca="false">D122/G122</f>
        <v>0.997781862821991</v>
      </c>
      <c r="I122" s="18" t="n">
        <f aca="false">INDEX('2 Seasonal Index'!$D$3:$D$54,C122)</f>
        <v>1.00303091571571</v>
      </c>
      <c r="J122" s="16" t="n">
        <f aca="false">D122/I122</f>
        <v>9195.13033495976</v>
      </c>
      <c r="O122" s="14" t="n">
        <f aca="false">B122</f>
        <v>1367</v>
      </c>
      <c r="P122" s="16" t="n">
        <f aca="false">E122</f>
        <v>242600</v>
      </c>
      <c r="Q122" s="16" t="n">
        <f aca="false">F122</f>
        <v>222000</v>
      </c>
    </row>
    <row r="123" customFormat="false" ht="15" hidden="false" customHeight="false" outlineLevel="0" collapsed="false">
      <c r="A123" s="12" t="n">
        <v>42846</v>
      </c>
      <c r="B123" s="13" t="n">
        <v>1368</v>
      </c>
      <c r="C123" s="14" t="n">
        <f aca="false">MIN(52,INT((A123-DATE(YEAR(A123),1,1))/7)+1)</f>
        <v>16</v>
      </c>
      <c r="D123" s="15" t="n">
        <v>9206</v>
      </c>
      <c r="E123" s="15" t="n">
        <v>225644</v>
      </c>
      <c r="F123" s="15" t="n">
        <v>231000</v>
      </c>
      <c r="G123" s="16" t="n">
        <f aca="false">$M$3+$M$4*B123</f>
        <v>9242.33068351612</v>
      </c>
      <c r="H123" s="17" t="n">
        <f aca="false">D123/G123</f>
        <v>0.99606909936896</v>
      </c>
      <c r="I123" s="18" t="n">
        <f aca="false">INDEX('2 Seasonal Index'!$D$3:$D$54,C123)</f>
        <v>1.00209740802543</v>
      </c>
      <c r="J123" s="16" t="n">
        <f aca="false">D123/I123</f>
        <v>9186.73167525688</v>
      </c>
      <c r="O123" s="14" t="n">
        <f aca="false">B123</f>
        <v>1368</v>
      </c>
      <c r="P123" s="16" t="n">
        <f aca="false">E123</f>
        <v>225644</v>
      </c>
      <c r="Q123" s="16" t="n">
        <f aca="false">F123</f>
        <v>231000</v>
      </c>
    </row>
    <row r="124" customFormat="false" ht="15" hidden="false" customHeight="false" outlineLevel="0" collapsed="false">
      <c r="A124" s="12" t="n">
        <v>42853</v>
      </c>
      <c r="B124" s="13" t="n">
        <v>1369</v>
      </c>
      <c r="C124" s="14" t="n">
        <f aca="false">MIN(52,INT((A124-DATE(YEAR(A124),1,1))/7)+1)</f>
        <v>17</v>
      </c>
      <c r="D124" s="15" t="n">
        <v>9156</v>
      </c>
      <c r="E124" s="15" t="n">
        <v>225644</v>
      </c>
      <c r="F124" s="15" t="n">
        <v>238000</v>
      </c>
      <c r="G124" s="16" t="n">
        <f aca="false">$M$3+$M$4*B124</f>
        <v>9241.1580085778</v>
      </c>
      <c r="H124" s="17" t="n">
        <f aca="false">D124/G124</f>
        <v>0.990784920190873</v>
      </c>
      <c r="I124" s="18" t="n">
        <f aca="false">INDEX('2 Seasonal Index'!$D$3:$D$54,C124)</f>
        <v>0.985720009085136</v>
      </c>
      <c r="J124" s="16" t="n">
        <f aca="false">D124/I124</f>
        <v>9288.64171936394</v>
      </c>
      <c r="O124" s="14" t="n">
        <f aca="false">B124</f>
        <v>1369</v>
      </c>
      <c r="P124" s="16" t="n">
        <f aca="false">E124</f>
        <v>225644</v>
      </c>
      <c r="Q124" s="16" t="n">
        <f aca="false">F124</f>
        <v>238000</v>
      </c>
    </row>
    <row r="125" customFormat="false" ht="15" hidden="false" customHeight="false" outlineLevel="0" collapsed="false">
      <c r="A125" s="12" t="n">
        <v>42860</v>
      </c>
      <c r="B125" s="13" t="n">
        <v>1370</v>
      </c>
      <c r="C125" s="14" t="n">
        <f aca="false">MIN(52,INT((A125-DATE(YEAR(A125),1,1))/7)+1)</f>
        <v>18</v>
      </c>
      <c r="D125" s="15" t="n">
        <v>9408</v>
      </c>
      <c r="E125" s="15" t="n">
        <v>225644</v>
      </c>
      <c r="F125" s="15" t="n">
        <v>232000</v>
      </c>
      <c r="G125" s="16" t="n">
        <f aca="false">$M$3+$M$4*B125</f>
        <v>9239.98533363948</v>
      </c>
      <c r="H125" s="17" t="n">
        <f aca="false">D125/G125</f>
        <v>1.01818343431226</v>
      </c>
      <c r="I125" s="18" t="n">
        <f aca="false">INDEX('2 Seasonal Index'!$D$3:$D$54,C125)</f>
        <v>1.01814015000929</v>
      </c>
      <c r="J125" s="16" t="n">
        <f aca="false">D125/I125</f>
        <v>9240.37815414127</v>
      </c>
      <c r="O125" s="14" t="n">
        <f aca="false">B125</f>
        <v>1370</v>
      </c>
      <c r="P125" s="16" t="n">
        <f aca="false">E125</f>
        <v>225644</v>
      </c>
      <c r="Q125" s="16" t="n">
        <f aca="false">F125</f>
        <v>232000</v>
      </c>
    </row>
    <row r="126" customFormat="false" ht="15" hidden="false" customHeight="false" outlineLevel="0" collapsed="false">
      <c r="A126" s="12" t="n">
        <v>42867</v>
      </c>
      <c r="B126" s="13" t="n">
        <v>1371</v>
      </c>
      <c r="C126" s="14" t="n">
        <f aca="false">MIN(52,INT((A126-DATE(YEAR(A126),1,1))/7)+1)</f>
        <v>19</v>
      </c>
      <c r="D126" s="15" t="n">
        <v>9452</v>
      </c>
      <c r="E126" s="15" t="n">
        <v>225644</v>
      </c>
      <c r="F126" s="15" t="n">
        <v>233000</v>
      </c>
      <c r="G126" s="16" t="n">
        <f aca="false">$M$3+$M$4*B126</f>
        <v>9238.81265870116</v>
      </c>
      <c r="H126" s="17" t="n">
        <f aca="false">D126/G126</f>
        <v>1.02307518824922</v>
      </c>
      <c r="I126" s="18" t="n">
        <f aca="false">INDEX('2 Seasonal Index'!$D$3:$D$54,C126)</f>
        <v>1.01337123918897</v>
      </c>
      <c r="J126" s="16" t="n">
        <f aca="false">D126/I126</f>
        <v>9327.28267240418</v>
      </c>
      <c r="O126" s="14" t="n">
        <f aca="false">B126</f>
        <v>1371</v>
      </c>
      <c r="P126" s="16" t="n">
        <f aca="false">E126</f>
        <v>225644</v>
      </c>
      <c r="Q126" s="16" t="n">
        <f aca="false">F126</f>
        <v>233000</v>
      </c>
    </row>
    <row r="127" customFormat="false" ht="15" hidden="false" customHeight="false" outlineLevel="0" collapsed="false">
      <c r="A127" s="12" t="n">
        <v>42874</v>
      </c>
      <c r="B127" s="13" t="n">
        <v>1372</v>
      </c>
      <c r="C127" s="14" t="n">
        <f aca="false">MIN(52,INT((A127-DATE(YEAR(A127),1,1))/7)+1)</f>
        <v>20</v>
      </c>
      <c r="D127" s="15" t="n">
        <v>9704</v>
      </c>
      <c r="E127" s="15" t="n">
        <v>268343</v>
      </c>
      <c r="F127" s="15" t="n">
        <v>234000</v>
      </c>
      <c r="G127" s="16" t="n">
        <f aca="false">$M$3+$M$4*B127</f>
        <v>9237.63998376284</v>
      </c>
      <c r="H127" s="17" t="n">
        <f aca="false">D127/G127</f>
        <v>1.05048475769319</v>
      </c>
      <c r="I127" s="18" t="n">
        <f aca="false">INDEX('2 Seasonal Index'!$D$3:$D$54,C127)</f>
        <v>1.03551191118317</v>
      </c>
      <c r="J127" s="16" t="n">
        <f aca="false">D127/I127</f>
        <v>9371.21040830162</v>
      </c>
      <c r="O127" s="14" t="n">
        <f aca="false">B127</f>
        <v>1372</v>
      </c>
      <c r="P127" s="16" t="n">
        <f aca="false">E127</f>
        <v>268343</v>
      </c>
      <c r="Q127" s="16" t="n">
        <f aca="false">F127</f>
        <v>234000</v>
      </c>
    </row>
    <row r="128" customFormat="false" ht="15" hidden="false" customHeight="false" outlineLevel="0" collapsed="false">
      <c r="A128" s="12" t="n">
        <v>42881</v>
      </c>
      <c r="B128" s="13" t="n">
        <v>1373</v>
      </c>
      <c r="C128" s="14" t="n">
        <f aca="false">MIN(52,INT((A128-DATE(YEAR(A128),1,1))/7)+1)</f>
        <v>21</v>
      </c>
      <c r="D128" s="15" t="n">
        <v>9822</v>
      </c>
      <c r="E128" s="15" t="n">
        <v>268343</v>
      </c>
      <c r="F128" s="15" t="n">
        <v>236000</v>
      </c>
      <c r="G128" s="16" t="n">
        <f aca="false">$M$3+$M$4*B128</f>
        <v>9236.46730882452</v>
      </c>
      <c r="H128" s="17" t="n">
        <f aca="false">D128/G128</f>
        <v>1.06339357587679</v>
      </c>
      <c r="I128" s="18" t="n">
        <f aca="false">INDEX('2 Seasonal Index'!$D$3:$D$54,C128)</f>
        <v>1.0352245807811</v>
      </c>
      <c r="J128" s="16" t="n">
        <f aca="false">D128/I128</f>
        <v>9487.79635099959</v>
      </c>
      <c r="O128" s="14" t="n">
        <f aca="false">B128</f>
        <v>1373</v>
      </c>
      <c r="P128" s="16" t="n">
        <f aca="false">E128</f>
        <v>268343</v>
      </c>
      <c r="Q128" s="16" t="n">
        <f aca="false">F128</f>
        <v>236000</v>
      </c>
    </row>
    <row r="129" customFormat="false" ht="15" hidden="false" customHeight="false" outlineLevel="0" collapsed="false">
      <c r="A129" s="12" t="n">
        <v>42888</v>
      </c>
      <c r="B129" s="13" t="n">
        <v>1374</v>
      </c>
      <c r="C129" s="14" t="n">
        <f aca="false">MIN(52,INT((A129-DATE(YEAR(A129),1,1))/7)+1)</f>
        <v>22</v>
      </c>
      <c r="D129" s="15" t="n">
        <v>9317</v>
      </c>
      <c r="E129" s="15" t="n">
        <v>268343</v>
      </c>
      <c r="F129" s="15" t="n">
        <v>253000</v>
      </c>
      <c r="G129" s="16" t="n">
        <f aca="false">$M$3+$M$4*B129</f>
        <v>9235.2946338862</v>
      </c>
      <c r="H129" s="17" t="n">
        <f aca="false">D129/G129</f>
        <v>1.00884707736492</v>
      </c>
      <c r="I129" s="18" t="n">
        <f aca="false">INDEX('2 Seasonal Index'!$D$3:$D$54,C129)</f>
        <v>1.01397917017061</v>
      </c>
      <c r="J129" s="16" t="n">
        <f aca="false">D129/I129</f>
        <v>9188.551672548</v>
      </c>
      <c r="O129" s="14" t="n">
        <f aca="false">B129</f>
        <v>1374</v>
      </c>
      <c r="P129" s="16" t="n">
        <f aca="false">E129</f>
        <v>268343</v>
      </c>
      <c r="Q129" s="16" t="n">
        <f aca="false">F129</f>
        <v>253000</v>
      </c>
    </row>
    <row r="130" customFormat="false" ht="15" hidden="false" customHeight="false" outlineLevel="0" collapsed="false">
      <c r="A130" s="12" t="n">
        <v>42895</v>
      </c>
      <c r="B130" s="13" t="n">
        <v>1375</v>
      </c>
      <c r="C130" s="14" t="n">
        <f aca="false">MIN(52,INT((A130-DATE(YEAR(A130),1,1))/7)+1)</f>
        <v>23</v>
      </c>
      <c r="D130" s="15" t="n">
        <v>9269</v>
      </c>
      <c r="E130" s="15" t="n">
        <v>268343</v>
      </c>
      <c r="F130" s="15" t="n">
        <v>251000</v>
      </c>
      <c r="G130" s="16" t="n">
        <f aca="false">$M$3+$M$4*B130</f>
        <v>9234.12195894788</v>
      </c>
      <c r="H130" s="17" t="n">
        <f aca="false">D130/G130</f>
        <v>1.00377708256477</v>
      </c>
      <c r="I130" s="18" t="n">
        <f aca="false">INDEX('2 Seasonal Index'!$D$3:$D$54,C130)</f>
        <v>1.03755973679196</v>
      </c>
      <c r="J130" s="16" t="n">
        <f aca="false">D130/I130</f>
        <v>8933.46153606434</v>
      </c>
      <c r="O130" s="14" t="n">
        <f aca="false">B130</f>
        <v>1375</v>
      </c>
      <c r="P130" s="16" t="n">
        <f aca="false">E130</f>
        <v>268343</v>
      </c>
      <c r="Q130" s="16" t="n">
        <f aca="false">F130</f>
        <v>251000</v>
      </c>
    </row>
    <row r="131" customFormat="false" ht="15" hidden="false" customHeight="false" outlineLevel="0" collapsed="false">
      <c r="A131" s="12" t="n">
        <v>42902</v>
      </c>
      <c r="B131" s="13" t="n">
        <v>1376</v>
      </c>
      <c r="C131" s="14" t="n">
        <f aca="false">MIN(52,INT((A131-DATE(YEAR(A131),1,1))/7)+1)</f>
        <v>24</v>
      </c>
      <c r="D131" s="15" t="n">
        <v>9816</v>
      </c>
      <c r="E131" s="15" t="n">
        <v>272864</v>
      </c>
      <c r="F131" s="15" t="n">
        <v>245000</v>
      </c>
      <c r="G131" s="16" t="n">
        <f aca="false">$M$3+$M$4*B131</f>
        <v>9232.94928400956</v>
      </c>
      <c r="H131" s="17" t="n">
        <f aca="false">D131/G131</f>
        <v>1.06314891353299</v>
      </c>
      <c r="I131" s="18" t="n">
        <f aca="false">INDEX('2 Seasonal Index'!$D$3:$D$54,C131)</f>
        <v>1.03445132468082</v>
      </c>
      <c r="J131" s="16" t="n">
        <f aca="false">D131/I131</f>
        <v>9489.08833678447</v>
      </c>
      <c r="O131" s="14" t="n">
        <f aca="false">B131</f>
        <v>1376</v>
      </c>
      <c r="P131" s="16" t="n">
        <f aca="false">E131</f>
        <v>272864</v>
      </c>
      <c r="Q131" s="16" t="n">
        <f aca="false">F131</f>
        <v>245000</v>
      </c>
    </row>
    <row r="132" customFormat="false" ht="15" hidden="false" customHeight="false" outlineLevel="0" collapsed="false">
      <c r="A132" s="12" t="n">
        <v>42909</v>
      </c>
      <c r="B132" s="13" t="n">
        <v>1377</v>
      </c>
      <c r="C132" s="14" t="n">
        <f aca="false">MIN(52,INT((A132-DATE(YEAR(A132),1,1))/7)+1)</f>
        <v>25</v>
      </c>
      <c r="D132" s="15" t="n">
        <v>9538</v>
      </c>
      <c r="E132" s="15" t="n">
        <v>272864</v>
      </c>
      <c r="F132" s="15" t="n">
        <v>249000</v>
      </c>
      <c r="G132" s="16" t="n">
        <f aca="false">$M$3+$M$4*B132</f>
        <v>9231.77660907124</v>
      </c>
      <c r="H132" s="17" t="n">
        <f aca="false">D132/G132</f>
        <v>1.0331705806906</v>
      </c>
      <c r="I132" s="18" t="n">
        <f aca="false">INDEX('2 Seasonal Index'!$D$3:$D$54,C132)</f>
        <v>1.03606069309931</v>
      </c>
      <c r="J132" s="16" t="n">
        <f aca="false">D132/I132</f>
        <v>9206.02438016223</v>
      </c>
      <c r="O132" s="14" t="n">
        <f aca="false">B132</f>
        <v>1377</v>
      </c>
      <c r="P132" s="16" t="n">
        <f aca="false">E132</f>
        <v>272864</v>
      </c>
      <c r="Q132" s="16" t="n">
        <f aca="false">F132</f>
        <v>249000</v>
      </c>
    </row>
    <row r="133" customFormat="false" ht="15" hidden="false" customHeight="false" outlineLevel="0" collapsed="false">
      <c r="A133" s="12" t="n">
        <v>42916</v>
      </c>
      <c r="B133" s="13" t="n">
        <v>1378</v>
      </c>
      <c r="C133" s="14" t="n">
        <f aca="false">MIN(52,INT((A133-DATE(YEAR(A133),1,1))/7)+1)</f>
        <v>26</v>
      </c>
      <c r="D133" s="15" t="n">
        <v>9705</v>
      </c>
      <c r="E133" s="15" t="n">
        <v>272864</v>
      </c>
      <c r="F133" s="15" t="n">
        <v>247000</v>
      </c>
      <c r="G133" s="16" t="n">
        <f aca="false">$M$3+$M$4*B133</f>
        <v>9230.60393413293</v>
      </c>
      <c r="H133" s="17" t="n">
        <f aca="false">D133/G133</f>
        <v>1.05139382745184</v>
      </c>
      <c r="I133" s="18" t="n">
        <f aca="false">INDEX('2 Seasonal Index'!$D$3:$D$54,C133)</f>
        <v>1.05775104170879</v>
      </c>
      <c r="J133" s="16" t="n">
        <f aca="false">D133/I133</f>
        <v>9175.12686569574</v>
      </c>
      <c r="O133" s="14" t="n">
        <f aca="false">B133</f>
        <v>1378</v>
      </c>
      <c r="P133" s="16" t="n">
        <f aca="false">E133</f>
        <v>272864</v>
      </c>
      <c r="Q133" s="16" t="n">
        <f aca="false">F133</f>
        <v>247000</v>
      </c>
    </row>
    <row r="134" customFormat="false" ht="15" hidden="false" customHeight="false" outlineLevel="0" collapsed="false">
      <c r="A134" s="12" t="n">
        <v>42923</v>
      </c>
      <c r="B134" s="13" t="n">
        <v>1379</v>
      </c>
      <c r="C134" s="14" t="n">
        <f aca="false">MIN(52,INT((A134-DATE(YEAR(A134),1,1))/7)+1)</f>
        <v>27</v>
      </c>
      <c r="D134" s="15" t="n">
        <v>9786</v>
      </c>
      <c r="E134" s="15" t="n">
        <v>272864</v>
      </c>
      <c r="F134" s="15" t="n">
        <v>256000</v>
      </c>
      <c r="G134" s="16" t="n">
        <f aca="false">$M$3+$M$4*B134</f>
        <v>9229.43125919461</v>
      </c>
      <c r="H134" s="17" t="n">
        <f aca="false">D134/G134</f>
        <v>1.06030368775442</v>
      </c>
      <c r="I134" s="18" t="n">
        <f aca="false">INDEX('2 Seasonal Index'!$D$3:$D$54,C134)</f>
        <v>1.02126188503389</v>
      </c>
      <c r="J134" s="16" t="n">
        <f aca="false">D134/I134</f>
        <v>9582.26302519387</v>
      </c>
      <c r="O134" s="14" t="n">
        <f aca="false">B134</f>
        <v>1379</v>
      </c>
      <c r="P134" s="16" t="n">
        <f aca="false">E134</f>
        <v>272864</v>
      </c>
      <c r="Q134" s="16" t="n">
        <f aca="false">F134</f>
        <v>256000</v>
      </c>
    </row>
    <row r="135" customFormat="false" ht="15" hidden="false" customHeight="false" outlineLevel="0" collapsed="false">
      <c r="A135" s="12" t="n">
        <v>42930</v>
      </c>
      <c r="B135" s="13" t="n">
        <v>1380</v>
      </c>
      <c r="C135" s="14" t="n">
        <f aca="false">MIN(52,INT((A135-DATE(YEAR(A135),1,1))/7)+1)</f>
        <v>28</v>
      </c>
      <c r="D135" s="15" t="n">
        <v>9592</v>
      </c>
      <c r="E135" s="15" t="n">
        <v>272864</v>
      </c>
      <c r="F135" s="15" t="n">
        <v>259000</v>
      </c>
      <c r="G135" s="16" t="n">
        <f aca="false">$M$3+$M$4*B135</f>
        <v>9228.25858425629</v>
      </c>
      <c r="H135" s="17" t="n">
        <f aca="false">D135/G135</f>
        <v>1.03941604067795</v>
      </c>
      <c r="I135" s="18" t="n">
        <f aca="false">INDEX('2 Seasonal Index'!$D$3:$D$54,C135)</f>
        <v>1.01350902481598</v>
      </c>
      <c r="J135" s="16" t="n">
        <f aca="false">D135/I135</f>
        <v>9464.14858194439</v>
      </c>
      <c r="O135" s="14" t="n">
        <f aca="false">B135</f>
        <v>1380</v>
      </c>
      <c r="P135" s="16" t="n">
        <f aca="false">E135</f>
        <v>272864</v>
      </c>
      <c r="Q135" s="16" t="n">
        <f aca="false">F135</f>
        <v>259000</v>
      </c>
    </row>
    <row r="136" customFormat="false" ht="15" hidden="false" customHeight="false" outlineLevel="0" collapsed="false">
      <c r="A136" s="12" t="n">
        <v>42937</v>
      </c>
      <c r="B136" s="13" t="n">
        <v>1381</v>
      </c>
      <c r="C136" s="14" t="n">
        <f aca="false">MIN(52,INT((A136-DATE(YEAR(A136),1,1))/7)+1)</f>
        <v>29</v>
      </c>
      <c r="D136" s="15" t="n">
        <v>9821</v>
      </c>
      <c r="E136" s="15" t="n">
        <v>281264</v>
      </c>
      <c r="F136" s="15" t="n">
        <v>245000</v>
      </c>
      <c r="G136" s="16" t="n">
        <f aca="false">$M$3+$M$4*B136</f>
        <v>9227.08590931797</v>
      </c>
      <c r="H136" s="17" t="n">
        <f aca="false">D136/G136</f>
        <v>1.06436637704676</v>
      </c>
      <c r="I136" s="18" t="n">
        <f aca="false">INDEX('2 Seasonal Index'!$D$3:$D$54,C136)</f>
        <v>1.05195667886475</v>
      </c>
      <c r="J136" s="16" t="n">
        <f aca="false">D136/I136</f>
        <v>9335.93578263944</v>
      </c>
      <c r="O136" s="14" t="n">
        <f aca="false">B136</f>
        <v>1381</v>
      </c>
      <c r="P136" s="16" t="n">
        <f aca="false">E136</f>
        <v>281264</v>
      </c>
      <c r="Q136" s="16" t="n">
        <f aca="false">F136</f>
        <v>245000</v>
      </c>
    </row>
    <row r="137" customFormat="false" ht="15" hidden="false" customHeight="false" outlineLevel="0" collapsed="false">
      <c r="A137" s="12" t="n">
        <v>42944</v>
      </c>
      <c r="B137" s="13" t="n">
        <v>1382</v>
      </c>
      <c r="C137" s="14" t="n">
        <f aca="false">MIN(52,INT((A137-DATE(YEAR(A137),1,1))/7)+1)</f>
        <v>30</v>
      </c>
      <c r="D137" s="15" t="n">
        <v>9842</v>
      </c>
      <c r="E137" s="15" t="n">
        <v>281264</v>
      </c>
      <c r="F137" s="15" t="n">
        <v>249000</v>
      </c>
      <c r="G137" s="16" t="n">
        <f aca="false">$M$3+$M$4*B137</f>
        <v>9225.91323437965</v>
      </c>
      <c r="H137" s="17" t="n">
        <f aca="false">D137/G137</f>
        <v>1.06677786252363</v>
      </c>
      <c r="I137" s="18" t="n">
        <f aca="false">INDEX('2 Seasonal Index'!$D$3:$D$54,C137)</f>
        <v>1.03171304153628</v>
      </c>
      <c r="J137" s="16" t="n">
        <f aca="false">D137/I137</f>
        <v>9539.47425666414</v>
      </c>
      <c r="O137" s="14" t="n">
        <f aca="false">B137</f>
        <v>1382</v>
      </c>
      <c r="P137" s="16" t="n">
        <f aca="false">E137</f>
        <v>281264</v>
      </c>
      <c r="Q137" s="16" t="n">
        <f aca="false">F137</f>
        <v>249000</v>
      </c>
    </row>
    <row r="138" customFormat="false" ht="15" hidden="false" customHeight="false" outlineLevel="0" collapsed="false">
      <c r="A138" s="12" t="n">
        <v>42951</v>
      </c>
      <c r="B138" s="13" t="n">
        <v>1383</v>
      </c>
      <c r="C138" s="14" t="n">
        <f aca="false">MIN(52,INT((A138-DATE(YEAR(A138),1,1))/7)+1)</f>
        <v>31</v>
      </c>
      <c r="D138" s="15" t="n">
        <v>9797</v>
      </c>
      <c r="E138" s="15" t="n">
        <v>281264</v>
      </c>
      <c r="F138" s="15" t="n">
        <v>245000</v>
      </c>
      <c r="G138" s="16" t="n">
        <f aca="false">$M$3+$M$4*B138</f>
        <v>9224.74055944133</v>
      </c>
      <c r="H138" s="17" t="n">
        <f aca="false">D138/G138</f>
        <v>1.06203528834998</v>
      </c>
      <c r="I138" s="18" t="n">
        <f aca="false">INDEX('2 Seasonal Index'!$D$3:$D$54,C138)</f>
        <v>1.03997322006122</v>
      </c>
      <c r="J138" s="16" t="n">
        <f aca="false">D138/I138</f>
        <v>9420.43488333602</v>
      </c>
      <c r="O138" s="14" t="n">
        <f aca="false">B138</f>
        <v>1383</v>
      </c>
      <c r="P138" s="16" t="n">
        <f aca="false">E138</f>
        <v>281264</v>
      </c>
      <c r="Q138" s="16" t="n">
        <f aca="false">F138</f>
        <v>245000</v>
      </c>
    </row>
    <row r="139" customFormat="false" ht="15" hidden="false" customHeight="false" outlineLevel="0" collapsed="false">
      <c r="A139" s="12" t="n">
        <v>42958</v>
      </c>
      <c r="B139" s="13" t="n">
        <v>1384</v>
      </c>
      <c r="C139" s="14" t="n">
        <f aca="false">MIN(52,INT((A139-DATE(YEAR(A139),1,1))/7)+1)</f>
        <v>32</v>
      </c>
      <c r="D139" s="15" t="n">
        <v>9522</v>
      </c>
      <c r="E139" s="15" t="n">
        <v>281264</v>
      </c>
      <c r="F139" s="15" t="n">
        <v>254000</v>
      </c>
      <c r="G139" s="16" t="n">
        <f aca="false">$M$3+$M$4*B139</f>
        <v>9223.56788450301</v>
      </c>
      <c r="H139" s="17" t="n">
        <f aca="false">D139/G139</f>
        <v>1.03235538776685</v>
      </c>
      <c r="I139" s="18" t="n">
        <f aca="false">INDEX('2 Seasonal Index'!$D$3:$D$54,C139)</f>
        <v>1.04061693174176</v>
      </c>
      <c r="J139" s="16" t="n">
        <f aca="false">D139/I139</f>
        <v>9150.34121543874</v>
      </c>
      <c r="O139" s="14" t="n">
        <f aca="false">B139</f>
        <v>1384</v>
      </c>
      <c r="P139" s="16" t="n">
        <f aca="false">E139</f>
        <v>281264</v>
      </c>
      <c r="Q139" s="16" t="n">
        <f aca="false">F139</f>
        <v>254000</v>
      </c>
    </row>
    <row r="140" customFormat="false" ht="15" hidden="false" customHeight="false" outlineLevel="0" collapsed="false">
      <c r="A140" s="12" t="n">
        <v>42965</v>
      </c>
      <c r="B140" s="13" t="n">
        <v>1385</v>
      </c>
      <c r="C140" s="14" t="n">
        <f aca="false">MIN(52,INT((A140-DATE(YEAR(A140),1,1))/7)+1)</f>
        <v>33</v>
      </c>
      <c r="D140" s="15" t="n">
        <v>9629</v>
      </c>
      <c r="E140" s="15" t="n">
        <v>280290</v>
      </c>
      <c r="F140" s="15" t="n">
        <v>245000</v>
      </c>
      <c r="G140" s="16" t="n">
        <f aca="false">$M$3+$M$4*B140</f>
        <v>9222.39520956469</v>
      </c>
      <c r="H140" s="17" t="n">
        <f aca="false">D140/G140</f>
        <v>1.0440888490675</v>
      </c>
      <c r="I140" s="18" t="n">
        <f aca="false">INDEX('2 Seasonal Index'!$D$3:$D$54,C140)</f>
        <v>1.02747806583438</v>
      </c>
      <c r="J140" s="16" t="n">
        <f aca="false">D140/I140</f>
        <v>9371.48959202416</v>
      </c>
      <c r="O140" s="14" t="n">
        <f aca="false">B140</f>
        <v>1385</v>
      </c>
      <c r="P140" s="16" t="n">
        <f aca="false">E140</f>
        <v>280290</v>
      </c>
      <c r="Q140" s="16" t="n">
        <f aca="false">F140</f>
        <v>245000</v>
      </c>
    </row>
    <row r="141" customFormat="false" ht="15" hidden="false" customHeight="false" outlineLevel="0" collapsed="false">
      <c r="A141" s="12" t="n">
        <v>42972</v>
      </c>
      <c r="B141" s="13" t="n">
        <v>1386</v>
      </c>
      <c r="C141" s="14" t="n">
        <f aca="false">MIN(52,INT((A141-DATE(YEAR(A141),1,1))/7)+1)</f>
        <v>34</v>
      </c>
      <c r="D141" s="15" t="n">
        <v>9846</v>
      </c>
      <c r="E141" s="15" t="n">
        <v>280290</v>
      </c>
      <c r="F141" s="15" t="n">
        <v>245000</v>
      </c>
      <c r="G141" s="16" t="n">
        <f aca="false">$M$3+$M$4*B141</f>
        <v>9221.22253462637</v>
      </c>
      <c r="H141" s="17" t="n">
        <f aca="false">D141/G141</f>
        <v>1.06775429863313</v>
      </c>
      <c r="I141" s="18" t="n">
        <f aca="false">INDEX('2 Seasonal Index'!$D$3:$D$54,C141)</f>
        <v>1.03816398467415</v>
      </c>
      <c r="J141" s="16" t="n">
        <f aca="false">D141/I141</f>
        <v>9484.05082949435</v>
      </c>
      <c r="O141" s="14" t="n">
        <f aca="false">B141</f>
        <v>1386</v>
      </c>
      <c r="P141" s="16" t="n">
        <f aca="false">E141</f>
        <v>280290</v>
      </c>
      <c r="Q141" s="16" t="n">
        <f aca="false">F141</f>
        <v>245000</v>
      </c>
    </row>
    <row r="142" customFormat="false" ht="15" hidden="false" customHeight="false" outlineLevel="0" collapsed="false">
      <c r="A142" s="12" t="n">
        <v>42979</v>
      </c>
      <c r="B142" s="13" t="n">
        <v>1387</v>
      </c>
      <c r="C142" s="14" t="n">
        <f aca="false">MIN(52,INT((A142-DATE(YEAR(A142),1,1))/7)+1)</f>
        <v>35</v>
      </c>
      <c r="D142" s="15" t="n">
        <v>9163</v>
      </c>
      <c r="E142" s="15" t="n">
        <v>280290</v>
      </c>
      <c r="F142" s="15" t="n">
        <v>247000</v>
      </c>
      <c r="G142" s="16" t="n">
        <f aca="false">$M$3+$M$4*B142</f>
        <v>9220.04985968805</v>
      </c>
      <c r="H142" s="17" t="n">
        <f aca="false">D142/G142</f>
        <v>0.993812413104458</v>
      </c>
      <c r="I142" s="18" t="n">
        <f aca="false">INDEX('2 Seasonal Index'!$D$3:$D$54,C142)</f>
        <v>1.02246595866814</v>
      </c>
      <c r="J142" s="16" t="n">
        <f aca="false">D142/I142</f>
        <v>8961.66754728509</v>
      </c>
      <c r="O142" s="14" t="n">
        <f aca="false">B142</f>
        <v>1387</v>
      </c>
      <c r="P142" s="16" t="n">
        <f aca="false">E142</f>
        <v>280290</v>
      </c>
      <c r="Q142" s="16" t="n">
        <f aca="false">F142</f>
        <v>247000</v>
      </c>
    </row>
    <row r="143" customFormat="false" ht="15" hidden="false" customHeight="false" outlineLevel="0" collapsed="false">
      <c r="A143" s="12" t="n">
        <v>42986</v>
      </c>
      <c r="B143" s="13" t="n">
        <v>1388</v>
      </c>
      <c r="C143" s="14" t="n">
        <f aca="false">MIN(52,INT((A143-DATE(YEAR(A143),1,1))/7)+1)</f>
        <v>36</v>
      </c>
      <c r="D143" s="15" t="n">
        <v>9619</v>
      </c>
      <c r="E143" s="15" t="n">
        <v>280290</v>
      </c>
      <c r="F143" s="15" t="n">
        <v>297000</v>
      </c>
      <c r="G143" s="16" t="n">
        <f aca="false">$M$3+$M$4*B143</f>
        <v>9218.87718474974</v>
      </c>
      <c r="H143" s="17" t="n">
        <f aca="false">D143/G143</f>
        <v>1.04340255404554</v>
      </c>
      <c r="I143" s="18" t="n">
        <f aca="false">INDEX('2 Seasonal Index'!$D$3:$D$54,C143)</f>
        <v>1.00361083828068</v>
      </c>
      <c r="J143" s="16" t="n">
        <f aca="false">D143/I143</f>
        <v>9584.39230935238</v>
      </c>
      <c r="O143" s="14" t="n">
        <f aca="false">B143</f>
        <v>1388</v>
      </c>
      <c r="P143" s="16" t="n">
        <f aca="false">E143</f>
        <v>280290</v>
      </c>
      <c r="Q143" s="16" t="n">
        <f aca="false">F143</f>
        <v>297000</v>
      </c>
    </row>
    <row r="144" customFormat="false" ht="15" hidden="false" customHeight="false" outlineLevel="0" collapsed="false">
      <c r="A144" s="12" t="n">
        <v>42993</v>
      </c>
      <c r="B144" s="13" t="n">
        <v>1389</v>
      </c>
      <c r="C144" s="14" t="n">
        <f aca="false">MIN(52,INT((A144-DATE(YEAR(A144),1,1))/7)+1)</f>
        <v>37</v>
      </c>
      <c r="D144" s="15" t="n">
        <v>9441</v>
      </c>
      <c r="E144" s="15" t="n">
        <v>288566</v>
      </c>
      <c r="F144" s="15" t="n">
        <v>280000</v>
      </c>
      <c r="G144" s="16" t="n">
        <f aca="false">$M$3+$M$4*B144</f>
        <v>9217.70450981142</v>
      </c>
      <c r="H144" s="17" t="n">
        <f aca="false">D144/G144</f>
        <v>1.0242246309752</v>
      </c>
      <c r="I144" s="18" t="n">
        <f aca="false">INDEX('2 Seasonal Index'!$D$3:$D$54,C144)</f>
        <v>0.988109440121203</v>
      </c>
      <c r="J144" s="16" t="n">
        <f aca="false">D144/I144</f>
        <v>9554.60965826007</v>
      </c>
      <c r="O144" s="14" t="n">
        <f aca="false">B144</f>
        <v>1389</v>
      </c>
      <c r="P144" s="16" t="n">
        <f aca="false">E144</f>
        <v>288566</v>
      </c>
      <c r="Q144" s="16" t="n">
        <f aca="false">F144</f>
        <v>280000</v>
      </c>
    </row>
    <row r="145" customFormat="false" ht="15" hidden="false" customHeight="false" outlineLevel="0" collapsed="false">
      <c r="A145" s="12" t="n">
        <v>43000</v>
      </c>
      <c r="B145" s="13" t="n">
        <v>1390</v>
      </c>
      <c r="C145" s="14" t="n">
        <f aca="false">MIN(52,INT((A145-DATE(YEAR(A145),1,1))/7)+1)</f>
        <v>38</v>
      </c>
      <c r="D145" s="15" t="n">
        <v>9522</v>
      </c>
      <c r="E145" s="15" t="n">
        <v>288566</v>
      </c>
      <c r="F145" s="15" t="n">
        <v>261000</v>
      </c>
      <c r="G145" s="16" t="n">
        <f aca="false">$M$3+$M$4*B145</f>
        <v>9216.5318348731</v>
      </c>
      <c r="H145" s="17" t="n">
        <f aca="false">D145/G145</f>
        <v>1.033143504585</v>
      </c>
      <c r="I145" s="18" t="n">
        <f aca="false">INDEX('2 Seasonal Index'!$D$3:$D$54,C145)</f>
        <v>1.00996081852754</v>
      </c>
      <c r="J145" s="16" t="n">
        <f aca="false">D145/I145</f>
        <v>9428.08852117899</v>
      </c>
      <c r="O145" s="14" t="n">
        <f aca="false">B145</f>
        <v>1390</v>
      </c>
      <c r="P145" s="16" t="n">
        <f aca="false">E145</f>
        <v>288566</v>
      </c>
      <c r="Q145" s="16" t="n">
        <f aca="false">F145</f>
        <v>261000</v>
      </c>
    </row>
    <row r="146" customFormat="false" ht="15" hidden="false" customHeight="false" outlineLevel="0" collapsed="false">
      <c r="A146" s="12" t="n">
        <v>43007</v>
      </c>
      <c r="B146" s="13" t="n">
        <v>1391</v>
      </c>
      <c r="C146" s="14" t="n">
        <f aca="false">MIN(52,INT((A146-DATE(YEAR(A146),1,1))/7)+1)</f>
        <v>39</v>
      </c>
      <c r="D146" s="15" t="n">
        <v>9241</v>
      </c>
      <c r="E146" s="15" t="n">
        <v>288566</v>
      </c>
      <c r="F146" s="15" t="n">
        <v>264000</v>
      </c>
      <c r="G146" s="16" t="n">
        <f aca="false">$M$3+$M$4*B146</f>
        <v>9215.35915993478</v>
      </c>
      <c r="H146" s="17" t="n">
        <f aca="false">D146/G146</f>
        <v>1.0027824026845</v>
      </c>
      <c r="I146" s="18" t="n">
        <f aca="false">INDEX('2 Seasonal Index'!$D$3:$D$54,C146)</f>
        <v>0.982712197281613</v>
      </c>
      <c r="J146" s="16" t="n">
        <f aca="false">D146/I146</f>
        <v>9403.5670113412</v>
      </c>
      <c r="O146" s="14" t="n">
        <f aca="false">B146</f>
        <v>1391</v>
      </c>
      <c r="P146" s="16" t="n">
        <f aca="false">E146</f>
        <v>288566</v>
      </c>
      <c r="Q146" s="16" t="n">
        <f aca="false">F146</f>
        <v>264000</v>
      </c>
    </row>
    <row r="147" customFormat="false" ht="15" hidden="false" customHeight="false" outlineLevel="0" collapsed="false">
      <c r="A147" s="12" t="n">
        <v>43014</v>
      </c>
      <c r="B147" s="13" t="n">
        <v>1392</v>
      </c>
      <c r="C147" s="14" t="n">
        <f aca="false">MIN(52,INT((A147-DATE(YEAR(A147),1,1))/7)+1)</f>
        <v>40</v>
      </c>
      <c r="D147" s="15" t="n">
        <v>9480</v>
      </c>
      <c r="E147" s="15" t="n">
        <v>288566</v>
      </c>
      <c r="F147" s="15" t="n">
        <v>260000</v>
      </c>
      <c r="G147" s="16" t="n">
        <f aca="false">$M$3+$M$4*B147</f>
        <v>9214.18648499646</v>
      </c>
      <c r="H147" s="17" t="n">
        <f aca="false">D147/G147</f>
        <v>1.02884828904173</v>
      </c>
      <c r="I147" s="18" t="n">
        <f aca="false">INDEX('2 Seasonal Index'!$D$3:$D$54,C147)</f>
        <v>1.0036663428041</v>
      </c>
      <c r="J147" s="16" t="n">
        <f aca="false">D147/I147</f>
        <v>9445.37003553817</v>
      </c>
      <c r="O147" s="14" t="n">
        <f aca="false">B147</f>
        <v>1392</v>
      </c>
      <c r="P147" s="16" t="n">
        <f aca="false">E147</f>
        <v>288566</v>
      </c>
      <c r="Q147" s="16" t="n">
        <f aca="false">F147</f>
        <v>260000</v>
      </c>
    </row>
    <row r="148" customFormat="false" ht="15" hidden="false" customHeight="false" outlineLevel="0" collapsed="false">
      <c r="A148" s="12" t="n">
        <v>43021</v>
      </c>
      <c r="B148" s="13" t="n">
        <v>1393</v>
      </c>
      <c r="C148" s="14" t="n">
        <f aca="false">MIN(52,INT((A148-DATE(YEAR(A148),1,1))/7)+1)</f>
        <v>41</v>
      </c>
      <c r="D148" s="15" t="n">
        <v>9136</v>
      </c>
      <c r="E148" s="15" t="n">
        <v>288566</v>
      </c>
      <c r="F148" s="15" t="n">
        <v>252000</v>
      </c>
      <c r="G148" s="16" t="n">
        <f aca="false">$M$3+$M$4*B148</f>
        <v>9213.01381005814</v>
      </c>
      <c r="H148" s="17" t="n">
        <f aca="false">D148/G148</f>
        <v>0.99164075820943</v>
      </c>
      <c r="I148" s="18" t="n">
        <f aca="false">INDEX('2 Seasonal Index'!$D$3:$D$54,C148)</f>
        <v>0.995835782550445</v>
      </c>
      <c r="J148" s="16" t="n">
        <f aca="false">D148/I148</f>
        <v>9174.20337779156</v>
      </c>
      <c r="O148" s="14" t="n">
        <f aca="false">B148</f>
        <v>1393</v>
      </c>
      <c r="P148" s="16" t="n">
        <f aca="false">E148</f>
        <v>288566</v>
      </c>
      <c r="Q148" s="16" t="n">
        <f aca="false">F148</f>
        <v>252000</v>
      </c>
    </row>
    <row r="149" customFormat="false" ht="15" hidden="false" customHeight="false" outlineLevel="0" collapsed="false">
      <c r="A149" s="12" t="n">
        <v>43028</v>
      </c>
      <c r="B149" s="13" t="n">
        <v>1394</v>
      </c>
      <c r="C149" s="14" t="n">
        <f aca="false">MIN(52,INT((A149-DATE(YEAR(A149),1,1))/7)+1)</f>
        <v>42</v>
      </c>
      <c r="D149" s="15" t="n">
        <v>9314</v>
      </c>
      <c r="E149" s="15" t="n">
        <v>282558</v>
      </c>
      <c r="F149" s="15" t="n">
        <v>235000</v>
      </c>
      <c r="G149" s="16" t="n">
        <f aca="false">$M$3+$M$4*B149</f>
        <v>9211.84113511982</v>
      </c>
      <c r="H149" s="17" t="n">
        <f aca="false">D149/G149</f>
        <v>1.0110899507907</v>
      </c>
      <c r="I149" s="18" t="n">
        <f aca="false">INDEX('2 Seasonal Index'!$D$3:$D$54,C149)</f>
        <v>1.00307364557144</v>
      </c>
      <c r="J149" s="16" t="n">
        <f aca="false">D149/I149</f>
        <v>9285.45978764489</v>
      </c>
      <c r="O149" s="14" t="n">
        <f aca="false">B149</f>
        <v>1394</v>
      </c>
      <c r="P149" s="16" t="n">
        <f aca="false">E149</f>
        <v>282558</v>
      </c>
      <c r="Q149" s="16" t="n">
        <f aca="false">F149</f>
        <v>235000</v>
      </c>
    </row>
    <row r="150" customFormat="false" ht="15" hidden="false" customHeight="false" outlineLevel="0" collapsed="false">
      <c r="A150" s="12" t="n">
        <v>43035</v>
      </c>
      <c r="B150" s="13" t="n">
        <v>1395</v>
      </c>
      <c r="C150" s="14" t="n">
        <f aca="false">MIN(52,INT((A150-DATE(YEAR(A150),1,1))/7)+1)</f>
        <v>43</v>
      </c>
      <c r="D150" s="15" t="n">
        <v>9461</v>
      </c>
      <c r="E150" s="15" t="n">
        <v>282558</v>
      </c>
      <c r="F150" s="15" t="n">
        <v>241000</v>
      </c>
      <c r="G150" s="16" t="n">
        <f aca="false">$M$3+$M$4*B150</f>
        <v>9210.6684601815</v>
      </c>
      <c r="H150" s="17" t="n">
        <f aca="false">D150/G150</f>
        <v>1.02717843345472</v>
      </c>
      <c r="I150" s="18" t="n">
        <f aca="false">INDEX('2 Seasonal Index'!$D$3:$D$54,C150)</f>
        <v>1.01224087755293</v>
      </c>
      <c r="J150" s="16" t="n">
        <f aca="false">D150/I150</f>
        <v>9346.58954188031</v>
      </c>
      <c r="O150" s="14" t="n">
        <f aca="false">B150</f>
        <v>1395</v>
      </c>
      <c r="P150" s="16" t="n">
        <f aca="false">E150</f>
        <v>282558</v>
      </c>
      <c r="Q150" s="16" t="n">
        <f aca="false">F150</f>
        <v>241000</v>
      </c>
    </row>
    <row r="151" customFormat="false" ht="15" hidden="false" customHeight="false" outlineLevel="0" collapsed="false">
      <c r="A151" s="12" t="n">
        <v>43042</v>
      </c>
      <c r="B151" s="13" t="n">
        <v>1396</v>
      </c>
      <c r="C151" s="14" t="n">
        <f aca="false">MIN(52,INT((A151-DATE(YEAR(A151),1,1))/7)+1)</f>
        <v>44</v>
      </c>
      <c r="D151" s="15" t="n">
        <v>9496</v>
      </c>
      <c r="E151" s="15" t="n">
        <v>282558</v>
      </c>
      <c r="F151" s="15" t="n">
        <v>241000</v>
      </c>
      <c r="G151" s="16" t="n">
        <f aca="false">$M$3+$M$4*B151</f>
        <v>9209.49578524318</v>
      </c>
      <c r="H151" s="17" t="n">
        <f aca="false">D151/G151</f>
        <v>1.03110965262788</v>
      </c>
      <c r="I151" s="18" t="n">
        <f aca="false">INDEX('2 Seasonal Index'!$D$3:$D$54,C151)</f>
        <v>1.01203159220993</v>
      </c>
      <c r="J151" s="16" t="n">
        <f aca="false">D151/I151</f>
        <v>9383.10629143895</v>
      </c>
      <c r="O151" s="14" t="n">
        <f aca="false">B151</f>
        <v>1396</v>
      </c>
      <c r="P151" s="16" t="n">
        <f aca="false">E151</f>
        <v>282558</v>
      </c>
      <c r="Q151" s="16" t="n">
        <f aca="false">F151</f>
        <v>241000</v>
      </c>
    </row>
    <row r="152" customFormat="false" ht="15" hidden="false" customHeight="false" outlineLevel="0" collapsed="false">
      <c r="A152" s="12" t="n">
        <v>43049</v>
      </c>
      <c r="B152" s="13" t="n">
        <v>1397</v>
      </c>
      <c r="C152" s="14" t="n">
        <f aca="false">MIN(52,INT((A152-DATE(YEAR(A152),1,1))/7)+1)</f>
        <v>45</v>
      </c>
      <c r="D152" s="15" t="n">
        <v>9172</v>
      </c>
      <c r="E152" s="15" t="n">
        <v>282558</v>
      </c>
      <c r="F152" s="15" t="n">
        <v>248000</v>
      </c>
      <c r="G152" s="16" t="n">
        <f aca="false">$M$3+$M$4*B152</f>
        <v>9208.32311030486</v>
      </c>
      <c r="H152" s="17" t="n">
        <f aca="false">D152/G152</f>
        <v>0.996055404456408</v>
      </c>
      <c r="I152" s="18" t="n">
        <f aca="false">INDEX('2 Seasonal Index'!$D$3:$D$54,C152)</f>
        <v>1.01104078083898</v>
      </c>
      <c r="J152" s="16" t="n">
        <f aca="false">D152/I152</f>
        <v>9071.83980490772</v>
      </c>
      <c r="O152" s="14" t="n">
        <f aca="false">B152</f>
        <v>1397</v>
      </c>
      <c r="P152" s="16" t="n">
        <f aca="false">E152</f>
        <v>282558</v>
      </c>
      <c r="Q152" s="16" t="n">
        <f aca="false">F152</f>
        <v>248000</v>
      </c>
    </row>
    <row r="153" customFormat="false" ht="15" hidden="false" customHeight="false" outlineLevel="0" collapsed="false">
      <c r="A153" s="12" t="n">
        <v>43056</v>
      </c>
      <c r="B153" s="13" t="n">
        <v>1398</v>
      </c>
      <c r="C153" s="14" t="n">
        <f aca="false">MIN(52,INT((A153-DATE(YEAR(A153),1,1))/7)+1)</f>
        <v>46</v>
      </c>
      <c r="D153" s="15" t="n">
        <v>9595</v>
      </c>
      <c r="E153" s="15" t="n">
        <v>265212</v>
      </c>
      <c r="F153" s="15" t="n">
        <v>254000</v>
      </c>
      <c r="G153" s="16" t="n">
        <f aca="false">$M$3+$M$4*B153</f>
        <v>9207.15043536654</v>
      </c>
      <c r="H153" s="17" t="n">
        <f aca="false">D153/G153</f>
        <v>1.04212482106773</v>
      </c>
      <c r="I153" s="18" t="n">
        <f aca="false">INDEX('2 Seasonal Index'!$D$3:$D$54,C153)</f>
        <v>0.986356106092814</v>
      </c>
      <c r="J153" s="16" t="n">
        <f aca="false">D153/I153</f>
        <v>9727.72403468767</v>
      </c>
      <c r="O153" s="14" t="n">
        <f aca="false">B153</f>
        <v>1398</v>
      </c>
      <c r="P153" s="16" t="n">
        <f aca="false">E153</f>
        <v>265212</v>
      </c>
      <c r="Q153" s="16" t="n">
        <f aca="false">F153</f>
        <v>254000</v>
      </c>
    </row>
    <row r="154" customFormat="false" ht="15" hidden="false" customHeight="false" outlineLevel="0" collapsed="false">
      <c r="A154" s="12" t="n">
        <v>43063</v>
      </c>
      <c r="B154" s="13" t="n">
        <v>1399</v>
      </c>
      <c r="C154" s="14" t="n">
        <f aca="false">MIN(52,INT((A154-DATE(YEAR(A154),1,1))/7)+1)</f>
        <v>47</v>
      </c>
      <c r="D154" s="15" t="n">
        <v>8724</v>
      </c>
      <c r="E154" s="15" t="n">
        <v>265212</v>
      </c>
      <c r="F154" s="15" t="n">
        <v>246000</v>
      </c>
      <c r="G154" s="16" t="n">
        <f aca="false">$M$3+$M$4*B154</f>
        <v>9205.97776042823</v>
      </c>
      <c r="H154" s="17" t="n">
        <f aca="false">D154/G154</f>
        <v>0.947645130917</v>
      </c>
      <c r="I154" s="18" t="n">
        <f aca="false">INDEX('2 Seasonal Index'!$D$3:$D$54,C154)</f>
        <v>0.965789408729148</v>
      </c>
      <c r="J154" s="16" t="n">
        <f aca="false">D154/I154</f>
        <v>9033.02513068521</v>
      </c>
      <c r="O154" s="14" t="n">
        <f aca="false">B154</f>
        <v>1399</v>
      </c>
      <c r="P154" s="16" t="n">
        <f aca="false">E154</f>
        <v>265212</v>
      </c>
      <c r="Q154" s="16" t="n">
        <f aca="false">F154</f>
        <v>246000</v>
      </c>
    </row>
    <row r="155" customFormat="false" ht="15" hidden="false" customHeight="false" outlineLevel="0" collapsed="false">
      <c r="A155" s="12" t="n">
        <v>43070</v>
      </c>
      <c r="B155" s="13" t="n">
        <v>1400</v>
      </c>
      <c r="C155" s="14" t="n">
        <f aca="false">MIN(52,INT((A155-DATE(YEAR(A155),1,1))/7)+1)</f>
        <v>48</v>
      </c>
      <c r="D155" s="15" t="n">
        <v>8895</v>
      </c>
      <c r="E155" s="15" t="n">
        <v>265212</v>
      </c>
      <c r="F155" s="15" t="n">
        <v>243000</v>
      </c>
      <c r="G155" s="16" t="n">
        <f aca="false">$M$3+$M$4*B155</f>
        <v>9204.80508548991</v>
      </c>
      <c r="H155" s="17" t="n">
        <f aca="false">D155/G155</f>
        <v>0.966343112905425</v>
      </c>
      <c r="I155" s="18" t="n">
        <f aca="false">INDEX('2 Seasonal Index'!$D$3:$D$54,C155)</f>
        <v>0.974753768618106</v>
      </c>
      <c r="J155" s="16" t="n">
        <f aca="false">D155/I155</f>
        <v>9125.3814926105</v>
      </c>
      <c r="O155" s="14" t="n">
        <f aca="false">B155</f>
        <v>1400</v>
      </c>
      <c r="P155" s="16" t="n">
        <f aca="false">E155</f>
        <v>265212</v>
      </c>
      <c r="Q155" s="16" t="n">
        <f aca="false">F155</f>
        <v>243000</v>
      </c>
    </row>
    <row r="156" customFormat="false" ht="15" hidden="false" customHeight="false" outlineLevel="0" collapsed="false">
      <c r="A156" s="12" t="n">
        <v>43077</v>
      </c>
      <c r="B156" s="13" t="n">
        <v>1401</v>
      </c>
      <c r="C156" s="14" t="n">
        <f aca="false">MIN(52,INT((A156-DATE(YEAR(A156),1,1))/7)+1)</f>
        <v>49</v>
      </c>
      <c r="D156" s="15" t="n">
        <v>9091</v>
      </c>
      <c r="E156" s="15" t="n">
        <v>265212</v>
      </c>
      <c r="F156" s="15" t="n">
        <v>241000</v>
      </c>
      <c r="G156" s="16" t="n">
        <f aca="false">$M$3+$M$4*B156</f>
        <v>9203.63241055159</v>
      </c>
      <c r="H156" s="17" t="n">
        <f aca="false">D156/G156</f>
        <v>0.987762178504385</v>
      </c>
      <c r="I156" s="18" t="n">
        <f aca="false">INDEX('2 Seasonal Index'!$D$3:$D$54,C156)</f>
        <v>0.980293720669235</v>
      </c>
      <c r="J156" s="16" t="n">
        <f aca="false">D156/I156</f>
        <v>9273.75113021603</v>
      </c>
      <c r="O156" s="14" t="n">
        <f aca="false">B156</f>
        <v>1401</v>
      </c>
      <c r="P156" s="16" t="n">
        <f aca="false">E156</f>
        <v>265212</v>
      </c>
      <c r="Q156" s="16" t="n">
        <f aca="false">F156</f>
        <v>241000</v>
      </c>
    </row>
    <row r="157" customFormat="false" ht="15" hidden="false" customHeight="false" outlineLevel="0" collapsed="false">
      <c r="A157" s="12" t="n">
        <v>43084</v>
      </c>
      <c r="B157" s="13" t="n">
        <v>1402</v>
      </c>
      <c r="C157" s="14" t="n">
        <f aca="false">MIN(52,INT((A157-DATE(YEAR(A157),1,1))/7)+1)</f>
        <v>50</v>
      </c>
      <c r="D157" s="15" t="n">
        <v>9426</v>
      </c>
      <c r="E157" s="15" t="n">
        <v>265212</v>
      </c>
      <c r="F157" s="15" t="n">
        <v>229000</v>
      </c>
      <c r="G157" s="16" t="n">
        <f aca="false">$M$3+$M$4*B157</f>
        <v>9202.45973561327</v>
      </c>
      <c r="H157" s="17" t="n">
        <f aca="false">D157/G157</f>
        <v>1.02429136022423</v>
      </c>
      <c r="I157" s="18" t="n">
        <f aca="false">INDEX('2 Seasonal Index'!$D$3:$D$54,C157)</f>
        <v>1.00060911532618</v>
      </c>
      <c r="J157" s="16" t="n">
        <f aca="false">D157/I157</f>
        <v>9420.26197405497</v>
      </c>
      <c r="O157" s="14" t="n">
        <f aca="false">B157</f>
        <v>1402</v>
      </c>
      <c r="P157" s="16" t="n">
        <f aca="false">E157</f>
        <v>265212</v>
      </c>
      <c r="Q157" s="16" t="n">
        <f aca="false">F157</f>
        <v>229000</v>
      </c>
    </row>
    <row r="158" customFormat="false" ht="15" hidden="false" customHeight="false" outlineLevel="0" collapsed="false">
      <c r="A158" s="12" t="n">
        <v>43091</v>
      </c>
      <c r="B158" s="13" t="n">
        <v>1403</v>
      </c>
      <c r="C158" s="14" t="n">
        <f aca="false">MIN(52,INT((A158-DATE(YEAR(A158),1,1))/7)+1)</f>
        <v>51</v>
      </c>
      <c r="D158" s="15" t="n">
        <v>9485</v>
      </c>
      <c r="E158" s="15" t="n">
        <v>278888</v>
      </c>
      <c r="F158" s="15" t="n">
        <v>244000</v>
      </c>
      <c r="G158" s="16" t="n">
        <f aca="false">$M$3+$M$4*B158</f>
        <v>9201.28706067495</v>
      </c>
      <c r="H158" s="17" t="n">
        <f aca="false">D158/G158</f>
        <v>1.03083404935138</v>
      </c>
      <c r="I158" s="18" t="n">
        <f aca="false">INDEX('2 Seasonal Index'!$D$3:$D$54,C158)</f>
        <v>1.02197331378228</v>
      </c>
      <c r="J158" s="16" t="n">
        <f aca="false">D158/I158</f>
        <v>9281.06426272175</v>
      </c>
      <c r="O158" s="14" t="n">
        <f aca="false">B158</f>
        <v>1403</v>
      </c>
      <c r="P158" s="16" t="n">
        <f aca="false">E158</f>
        <v>278888</v>
      </c>
      <c r="Q158" s="16" t="n">
        <f aca="false">F158</f>
        <v>244000</v>
      </c>
    </row>
    <row r="159" customFormat="false" ht="15" hidden="false" customHeight="false" outlineLevel="0" collapsed="false">
      <c r="A159" s="12" t="n">
        <v>43098</v>
      </c>
      <c r="B159" s="13" t="n">
        <v>1404</v>
      </c>
      <c r="C159" s="14" t="n">
        <f aca="false">MIN(52,INT((A159-DATE(YEAR(A159),1,1))/7)+1)</f>
        <v>52</v>
      </c>
      <c r="D159" s="15" t="n">
        <v>8650</v>
      </c>
      <c r="E159" s="15" t="n">
        <v>278888</v>
      </c>
      <c r="F159" s="15" t="n">
        <v>251000</v>
      </c>
      <c r="G159" s="16" t="n">
        <f aca="false">$M$3+$M$4*B159</f>
        <v>9200.11438573663</v>
      </c>
      <c r="H159" s="17" t="n">
        <f aca="false">D159/G159</f>
        <v>0.940205701508505</v>
      </c>
      <c r="I159" s="18" t="n">
        <f aca="false">INDEX('2 Seasonal Index'!$D$3:$D$54,C159)</f>
        <v>0.941059701689701</v>
      </c>
      <c r="J159" s="16" t="n">
        <f aca="false">D159/I159</f>
        <v>9191.76539434072</v>
      </c>
      <c r="O159" s="14" t="n">
        <f aca="false">B159</f>
        <v>1404</v>
      </c>
      <c r="P159" s="16" t="n">
        <f aca="false">E159</f>
        <v>278888</v>
      </c>
      <c r="Q159" s="16" t="n">
        <f aca="false">F159</f>
        <v>251000</v>
      </c>
    </row>
    <row r="160" customFormat="false" ht="15" hidden="false" customHeight="false" outlineLevel="0" collapsed="false">
      <c r="A160" s="12" t="n">
        <v>43105</v>
      </c>
      <c r="B160" s="13" t="n">
        <v>1405</v>
      </c>
      <c r="C160" s="14" t="n">
        <f aca="false">MIN(52,INT((A160-DATE(YEAR(A160),1,1))/7)+1)</f>
        <v>1</v>
      </c>
      <c r="D160" s="15" t="n">
        <v>8814</v>
      </c>
      <c r="E160" s="15" t="n">
        <v>278888</v>
      </c>
      <c r="F160" s="15" t="n">
        <v>248000</v>
      </c>
      <c r="G160" s="16" t="n">
        <f aca="false">$M$3+$M$4*B160</f>
        <v>9198.94171079831</v>
      </c>
      <c r="H160" s="17" t="n">
        <f aca="false">D160/G160</f>
        <v>0.958153696055445</v>
      </c>
      <c r="I160" s="18" t="n">
        <f aca="false">INDEX('2 Seasonal Index'!$D$3:$D$54,C160)</f>
        <v>0.914658189121246</v>
      </c>
      <c r="J160" s="16" t="n">
        <f aca="false">D160/I160</f>
        <v>9636.38669049474</v>
      </c>
      <c r="O160" s="14" t="n">
        <f aca="false">B160</f>
        <v>1405</v>
      </c>
      <c r="P160" s="16" t="n">
        <f aca="false">E160</f>
        <v>278888</v>
      </c>
      <c r="Q160" s="16" t="n">
        <f aca="false">F160</f>
        <v>248000</v>
      </c>
    </row>
    <row r="161" customFormat="false" ht="15" hidden="false" customHeight="false" outlineLevel="0" collapsed="false">
      <c r="A161" s="12" t="n">
        <v>43112</v>
      </c>
      <c r="B161" s="13" t="n">
        <v>1406</v>
      </c>
      <c r="C161" s="14" t="n">
        <f aca="false">MIN(52,INT((A161-DATE(YEAR(A161),1,1))/7)+1)</f>
        <v>2</v>
      </c>
      <c r="D161" s="15" t="n">
        <v>8668</v>
      </c>
      <c r="E161" s="15" t="n">
        <v>278888</v>
      </c>
      <c r="F161" s="15" t="n">
        <v>252000</v>
      </c>
      <c r="G161" s="16" t="n">
        <f aca="false">$M$3+$M$4*B161</f>
        <v>9197.76903585999</v>
      </c>
      <c r="H161" s="17" t="n">
        <f aca="false">D161/G161</f>
        <v>0.942402441962334</v>
      </c>
      <c r="I161" s="18" t="n">
        <f aca="false">INDEX('2 Seasonal Index'!$D$3:$D$54,C161)</f>
        <v>0.921123720796805</v>
      </c>
      <c r="J161" s="16" t="n">
        <f aca="false">D161/I161</f>
        <v>9410.24512158027</v>
      </c>
      <c r="O161" s="14" t="n">
        <f aca="false">B161</f>
        <v>1406</v>
      </c>
      <c r="P161" s="16" t="n">
        <f aca="false">E161</f>
        <v>278888</v>
      </c>
      <c r="Q161" s="16" t="n">
        <f aca="false">F161</f>
        <v>252000</v>
      </c>
    </row>
    <row r="162" customFormat="false" ht="15" hidden="false" customHeight="false" outlineLevel="0" collapsed="false">
      <c r="A162" s="12" t="n">
        <v>43119</v>
      </c>
      <c r="B162" s="13" t="n">
        <v>1407</v>
      </c>
      <c r="C162" s="14" t="n">
        <f aca="false">MIN(52,INT((A162-DATE(YEAR(A162),1,1))/7)+1)</f>
        <v>3</v>
      </c>
      <c r="D162" s="15" t="n">
        <v>8697</v>
      </c>
      <c r="E162" s="15" t="n">
        <v>258159</v>
      </c>
      <c r="F162" s="15" t="n">
        <v>230000</v>
      </c>
      <c r="G162" s="16" t="n">
        <f aca="false">$M$3+$M$4*B162</f>
        <v>9196.59636092167</v>
      </c>
      <c r="H162" s="17" t="n">
        <f aca="false">D162/G162</f>
        <v>0.945675949958556</v>
      </c>
      <c r="I162" s="18" t="n">
        <f aca="false">INDEX('2 Seasonal Index'!$D$3:$D$54,C162)</f>
        <v>0.932475709892495</v>
      </c>
      <c r="J162" s="16" t="n">
        <f aca="false">D162/I162</f>
        <v>9326.78450251823</v>
      </c>
      <c r="O162" s="14" t="n">
        <f aca="false">B162</f>
        <v>1407</v>
      </c>
      <c r="P162" s="16" t="n">
        <f aca="false">E162</f>
        <v>258159</v>
      </c>
      <c r="Q162" s="16" t="n">
        <f aca="false">F162</f>
        <v>230000</v>
      </c>
    </row>
    <row r="163" customFormat="false" ht="15" hidden="false" customHeight="false" outlineLevel="0" collapsed="false">
      <c r="A163" s="12" t="n">
        <v>43126</v>
      </c>
      <c r="B163" s="13" t="n">
        <v>1408</v>
      </c>
      <c r="C163" s="14" t="n">
        <f aca="false">MIN(52,INT((A163-DATE(YEAR(A163),1,1))/7)+1)</f>
        <v>4</v>
      </c>
      <c r="D163" s="15" t="n">
        <v>9044</v>
      </c>
      <c r="E163" s="15" t="n">
        <v>258159</v>
      </c>
      <c r="F163" s="15" t="n">
        <v>231000</v>
      </c>
      <c r="G163" s="16" t="n">
        <f aca="false">$M$3+$M$4*B163</f>
        <v>9195.42368598336</v>
      </c>
      <c r="H163" s="17" t="n">
        <f aca="false">D163/G163</f>
        <v>0.983532712449762</v>
      </c>
      <c r="I163" s="18" t="n">
        <f aca="false">INDEX('2 Seasonal Index'!$D$3:$D$54,C163)</f>
        <v>0.95567024426302</v>
      </c>
      <c r="J163" s="16" t="n">
        <f aca="false">D163/I163</f>
        <v>9463.515322667</v>
      </c>
      <c r="O163" s="14" t="n">
        <f aca="false">B163</f>
        <v>1408</v>
      </c>
      <c r="P163" s="16" t="n">
        <f aca="false">E163</f>
        <v>258159</v>
      </c>
      <c r="Q163" s="16" t="n">
        <f aca="false">F163</f>
        <v>231000</v>
      </c>
    </row>
    <row r="164" customFormat="false" ht="15" hidden="false" customHeight="false" outlineLevel="0" collapsed="false">
      <c r="A164" s="12" t="n">
        <v>43133</v>
      </c>
      <c r="B164" s="13" t="n">
        <v>1409</v>
      </c>
      <c r="C164" s="14" t="n">
        <f aca="false">MIN(52,INT((A164-DATE(YEAR(A164),1,1))/7)+1)</f>
        <v>5</v>
      </c>
      <c r="D164" s="15" t="n">
        <v>9110</v>
      </c>
      <c r="E164" s="15" t="n">
        <v>258159</v>
      </c>
      <c r="F164" s="15" t="n">
        <v>228000</v>
      </c>
      <c r="G164" s="16" t="n">
        <f aca="false">$M$3+$M$4*B164</f>
        <v>9194.25101104504</v>
      </c>
      <c r="H164" s="17" t="n">
        <f aca="false">D164/G164</f>
        <v>0.990836555262215</v>
      </c>
      <c r="I164" s="18" t="n">
        <f aca="false">INDEX('2 Seasonal Index'!$D$3:$D$54,C164)</f>
        <v>0.963785211095498</v>
      </c>
      <c r="J164" s="16" t="n">
        <f aca="false">D164/I164</f>
        <v>9452.31353949186</v>
      </c>
      <c r="O164" s="14" t="n">
        <f aca="false">B164</f>
        <v>1409</v>
      </c>
      <c r="P164" s="16" t="n">
        <f aca="false">E164</f>
        <v>258159</v>
      </c>
      <c r="Q164" s="16" t="n">
        <f aca="false">F164</f>
        <v>228000</v>
      </c>
    </row>
    <row r="165" customFormat="false" ht="15" hidden="false" customHeight="false" outlineLevel="0" collapsed="false">
      <c r="A165" s="12" t="n">
        <v>43140</v>
      </c>
      <c r="B165" s="13" t="n">
        <v>1410</v>
      </c>
      <c r="C165" s="14" t="n">
        <f aca="false">MIN(52,INT((A165-DATE(YEAR(A165),1,1))/7)+1)</f>
        <v>6</v>
      </c>
      <c r="D165" s="15" t="n">
        <v>9059</v>
      </c>
      <c r="E165" s="15" t="n">
        <v>258159</v>
      </c>
      <c r="F165" s="15" t="n">
        <v>224000</v>
      </c>
      <c r="G165" s="16" t="n">
        <f aca="false">$M$3+$M$4*B165</f>
        <v>9193.07833610672</v>
      </c>
      <c r="H165" s="17" t="n">
        <f aca="false">D165/G165</f>
        <v>0.985415294942053</v>
      </c>
      <c r="I165" s="18" t="n">
        <f aca="false">INDEX('2 Seasonal Index'!$D$3:$D$54,C165)</f>
        <v>0.93990301851115</v>
      </c>
      <c r="J165" s="16" t="n">
        <f aca="false">D165/I165</f>
        <v>9638.22843589744</v>
      </c>
      <c r="O165" s="14" t="n">
        <f aca="false">B165</f>
        <v>1410</v>
      </c>
      <c r="P165" s="16" t="n">
        <f aca="false">E165</f>
        <v>258159</v>
      </c>
      <c r="Q165" s="16" t="n">
        <f aca="false">F165</f>
        <v>224000</v>
      </c>
    </row>
    <row r="166" customFormat="false" ht="15" hidden="false" customHeight="false" outlineLevel="0" collapsed="false">
      <c r="A166" s="12" t="n">
        <v>43147</v>
      </c>
      <c r="B166" s="13" t="n">
        <v>1411</v>
      </c>
      <c r="C166" s="14" t="n">
        <f aca="false">MIN(52,INT((A166-DATE(YEAR(A166),1,1))/7)+1)</f>
        <v>7</v>
      </c>
      <c r="D166" s="15" t="n">
        <v>9002</v>
      </c>
      <c r="E166" s="15" t="n">
        <v>267958</v>
      </c>
      <c r="F166" s="15" t="n">
        <v>225000</v>
      </c>
      <c r="G166" s="16" t="n">
        <f aca="false">$M$3+$M$4*B166</f>
        <v>9191.9056611684</v>
      </c>
      <c r="H166" s="17" t="n">
        <f aca="false">D166/G166</f>
        <v>0.979339903152982</v>
      </c>
      <c r="I166" s="18" t="n">
        <f aca="false">INDEX('2 Seasonal Index'!$D$3:$D$54,C166)</f>
        <v>0.963162093989007</v>
      </c>
      <c r="J166" s="16" t="n">
        <f aca="false">D166/I166</f>
        <v>9346.29804908284</v>
      </c>
      <c r="O166" s="14" t="n">
        <f aca="false">B166</f>
        <v>1411</v>
      </c>
      <c r="P166" s="16" t="n">
        <f aca="false">E166</f>
        <v>267958</v>
      </c>
      <c r="Q166" s="16" t="n">
        <f aca="false">F166</f>
        <v>225000</v>
      </c>
    </row>
    <row r="167" customFormat="false" ht="15" hidden="false" customHeight="false" outlineLevel="0" collapsed="false">
      <c r="A167" s="12" t="n">
        <v>43154</v>
      </c>
      <c r="B167" s="13" t="n">
        <v>1412</v>
      </c>
      <c r="C167" s="14" t="n">
        <f aca="false">MIN(52,INT((A167-DATE(YEAR(A167),1,1))/7)+1)</f>
        <v>8</v>
      </c>
      <c r="D167" s="15" t="n">
        <v>8860</v>
      </c>
      <c r="E167" s="15" t="n">
        <v>267958</v>
      </c>
      <c r="F167" s="15" t="n">
        <v>219000</v>
      </c>
      <c r="G167" s="16" t="n">
        <f aca="false">$M$3+$M$4*B167</f>
        <v>9190.73298623008</v>
      </c>
      <c r="H167" s="17" t="n">
        <f aca="false">D167/G167</f>
        <v>0.964014514758986</v>
      </c>
      <c r="I167" s="18" t="n">
        <f aca="false">INDEX('2 Seasonal Index'!$D$3:$D$54,C167)</f>
        <v>0.978387056473038</v>
      </c>
      <c r="J167" s="16" t="n">
        <f aca="false">D167/I167</f>
        <v>9055.72078185415</v>
      </c>
      <c r="O167" s="14" t="n">
        <f aca="false">B167</f>
        <v>1412</v>
      </c>
      <c r="P167" s="16" t="n">
        <f aca="false">E167</f>
        <v>267958</v>
      </c>
      <c r="Q167" s="16" t="n">
        <f aca="false">F167</f>
        <v>219000</v>
      </c>
    </row>
    <row r="168" customFormat="false" ht="15" hidden="false" customHeight="false" outlineLevel="0" collapsed="false">
      <c r="A168" s="12" t="n">
        <v>43161</v>
      </c>
      <c r="B168" s="13" t="n">
        <v>1413</v>
      </c>
      <c r="C168" s="14" t="n">
        <f aca="false">MIN(52,INT((A168-DATE(YEAR(A168),1,1))/7)+1)</f>
        <v>9</v>
      </c>
      <c r="D168" s="15" t="n">
        <v>9276</v>
      </c>
      <c r="E168" s="15" t="n">
        <v>267958</v>
      </c>
      <c r="F168" s="15" t="n">
        <v>216000</v>
      </c>
      <c r="G168" s="16" t="n">
        <f aca="false">$M$3+$M$4*B168</f>
        <v>9189.56031129176</v>
      </c>
      <c r="H168" s="17" t="n">
        <f aca="false">D168/G168</f>
        <v>1.00940629211629</v>
      </c>
      <c r="I168" s="18" t="n">
        <f aca="false">INDEX('2 Seasonal Index'!$D$3:$D$54,C168)</f>
        <v>0.986293676275175</v>
      </c>
      <c r="J168" s="16" t="n">
        <f aca="false">D168/I168</f>
        <v>9404.90669577405</v>
      </c>
      <c r="O168" s="14" t="n">
        <f aca="false">B168</f>
        <v>1413</v>
      </c>
      <c r="P168" s="16" t="n">
        <f aca="false">E168</f>
        <v>267958</v>
      </c>
      <c r="Q168" s="16" t="n">
        <f aca="false">F168</f>
        <v>216000</v>
      </c>
    </row>
    <row r="169" customFormat="false" ht="15" hidden="false" customHeight="false" outlineLevel="0" collapsed="false">
      <c r="A169" s="12" t="n">
        <v>43168</v>
      </c>
      <c r="B169" s="13" t="n">
        <v>1414</v>
      </c>
      <c r="C169" s="14" t="n">
        <f aca="false">MIN(52,INT((A169-DATE(YEAR(A169),1,1))/7)+1)</f>
        <v>10</v>
      </c>
      <c r="D169" s="15" t="n">
        <v>9642</v>
      </c>
      <c r="E169" s="15" t="n">
        <v>267958</v>
      </c>
      <c r="F169" s="15" t="n">
        <v>228000</v>
      </c>
      <c r="G169" s="16" t="n">
        <f aca="false">$M$3+$M$4*B169</f>
        <v>9188.38763635344</v>
      </c>
      <c r="H169" s="17" t="n">
        <f aca="false">D169/G169</f>
        <v>1.04936800465969</v>
      </c>
      <c r="I169" s="18" t="n">
        <f aca="false">INDEX('2 Seasonal Index'!$D$3:$D$54,C169)</f>
        <v>0.995274907218877</v>
      </c>
      <c r="J169" s="16" t="n">
        <f aca="false">D169/I169</f>
        <v>9687.77563873573</v>
      </c>
      <c r="O169" s="14" t="n">
        <f aca="false">B169</f>
        <v>1414</v>
      </c>
      <c r="P169" s="16" t="n">
        <f aca="false">E169</f>
        <v>267958</v>
      </c>
      <c r="Q169" s="16" t="n">
        <f aca="false">F169</f>
        <v>228000</v>
      </c>
    </row>
    <row r="170" customFormat="false" ht="15" hidden="false" customHeight="false" outlineLevel="0" collapsed="false">
      <c r="A170" s="12" t="n">
        <v>43175</v>
      </c>
      <c r="B170" s="13" t="n">
        <v>1415</v>
      </c>
      <c r="C170" s="14" t="n">
        <f aca="false">MIN(52,INT((A170-DATE(YEAR(A170),1,1))/7)+1)</f>
        <v>11</v>
      </c>
      <c r="D170" s="15" t="n">
        <v>9324</v>
      </c>
      <c r="E170" s="15" t="n">
        <v>267958</v>
      </c>
      <c r="F170" s="15" t="n">
        <v>223000</v>
      </c>
      <c r="G170" s="16" t="n">
        <f aca="false">$M$3+$M$4*B170</f>
        <v>9187.21496141512</v>
      </c>
      <c r="H170" s="17" t="n">
        <f aca="false">D170/G170</f>
        <v>1.01488862937891</v>
      </c>
      <c r="I170" s="18" t="n">
        <f aca="false">INDEX('2 Seasonal Index'!$D$3:$D$54,C170)</f>
        <v>1.00212775296089</v>
      </c>
      <c r="J170" s="16" t="n">
        <f aca="false">D170/I170</f>
        <v>9304.20295461456</v>
      </c>
      <c r="O170" s="14" t="n">
        <f aca="false">B170</f>
        <v>1415</v>
      </c>
      <c r="P170" s="16" t="n">
        <f aca="false">E170</f>
        <v>267958</v>
      </c>
      <c r="Q170" s="16" t="n">
        <f aca="false">F170</f>
        <v>223000</v>
      </c>
    </row>
    <row r="171" customFormat="false" ht="15" hidden="false" customHeight="false" outlineLevel="0" collapsed="false">
      <c r="A171" s="12" t="n">
        <v>43182</v>
      </c>
      <c r="B171" s="13" t="n">
        <v>1416</v>
      </c>
      <c r="C171" s="14" t="n">
        <f aca="false">MIN(52,INT((A171-DATE(YEAR(A171),1,1))/7)+1)</f>
        <v>12</v>
      </c>
      <c r="D171" s="15" t="n">
        <v>9208</v>
      </c>
      <c r="E171" s="15" t="n">
        <v>244736</v>
      </c>
      <c r="F171" s="15" t="n">
        <v>225000</v>
      </c>
      <c r="G171" s="16" t="n">
        <f aca="false">$M$3+$M$4*B171</f>
        <v>9186.0422864768</v>
      </c>
      <c r="H171" s="17" t="n">
        <f aca="false">D171/G171</f>
        <v>1.00239033447032</v>
      </c>
      <c r="I171" s="18" t="n">
        <f aca="false">INDEX('2 Seasonal Index'!$D$3:$D$54,C171)</f>
        <v>0.99255102448152</v>
      </c>
      <c r="J171" s="16" t="n">
        <f aca="false">D171/I171</f>
        <v>9277.10492748722</v>
      </c>
      <c r="O171" s="14" t="n">
        <f aca="false">B171</f>
        <v>1416</v>
      </c>
      <c r="P171" s="16" t="n">
        <f aca="false">E171</f>
        <v>244736</v>
      </c>
      <c r="Q171" s="16" t="n">
        <f aca="false">F171</f>
        <v>225000</v>
      </c>
    </row>
    <row r="172" customFormat="false" ht="15" hidden="false" customHeight="false" outlineLevel="0" collapsed="false">
      <c r="A172" s="12" t="n">
        <v>43189</v>
      </c>
      <c r="B172" s="13" t="n">
        <v>1417</v>
      </c>
      <c r="C172" s="14" t="n">
        <f aca="false">MIN(52,INT((A172-DATE(YEAR(A172),1,1))/7)+1)</f>
        <v>13</v>
      </c>
      <c r="D172" s="15" t="n">
        <v>9203</v>
      </c>
      <c r="E172" s="15" t="n">
        <v>244736</v>
      </c>
      <c r="F172" s="15" t="n">
        <v>221000</v>
      </c>
      <c r="G172" s="16" t="n">
        <f aca="false">$M$3+$M$4*B172</f>
        <v>9184.86961153849</v>
      </c>
      <c r="H172" s="17" t="n">
        <f aca="false">D172/G172</f>
        <v>1.00197394075565</v>
      </c>
      <c r="I172" s="18" t="n">
        <f aca="false">INDEX('2 Seasonal Index'!$D$3:$D$54,C172)</f>
        <v>1.00671990755393</v>
      </c>
      <c r="J172" s="16" t="n">
        <f aca="false">D172/I172</f>
        <v>9141.56949807507</v>
      </c>
      <c r="O172" s="14" t="n">
        <f aca="false">B172</f>
        <v>1417</v>
      </c>
      <c r="P172" s="16" t="n">
        <f aca="false">E172</f>
        <v>244736</v>
      </c>
      <c r="Q172" s="16" t="n">
        <f aca="false">F172</f>
        <v>221000</v>
      </c>
    </row>
    <row r="173" customFormat="false" ht="15" hidden="false" customHeight="false" outlineLevel="0" collapsed="false">
      <c r="A173" s="12" t="n">
        <v>43196</v>
      </c>
      <c r="B173" s="13" t="n">
        <v>1418</v>
      </c>
      <c r="C173" s="14" t="n">
        <f aca="false">MIN(52,INT((A173-DATE(YEAR(A173),1,1))/7)+1)</f>
        <v>14</v>
      </c>
      <c r="D173" s="15" t="n">
        <v>9273</v>
      </c>
      <c r="E173" s="15" t="n">
        <v>244736</v>
      </c>
      <c r="F173" s="15" t="n">
        <v>232000</v>
      </c>
      <c r="G173" s="16" t="n">
        <f aca="false">$M$3+$M$4*B173</f>
        <v>9183.69693660017</v>
      </c>
      <c r="H173" s="17" t="n">
        <f aca="false">D173/G173</f>
        <v>1.00972408649984</v>
      </c>
      <c r="I173" s="18" t="n">
        <f aca="false">INDEX('2 Seasonal Index'!$D$3:$D$54,C173)</f>
        <v>0.994713065050192</v>
      </c>
      <c r="J173" s="16" t="n">
        <f aca="false">D173/I173</f>
        <v>9322.28632136454</v>
      </c>
      <c r="O173" s="14" t="n">
        <f aca="false">B173</f>
        <v>1418</v>
      </c>
      <c r="P173" s="16" t="n">
        <f aca="false">E173</f>
        <v>244736</v>
      </c>
      <c r="Q173" s="16" t="n">
        <f aca="false">F173</f>
        <v>232000</v>
      </c>
    </row>
    <row r="174" customFormat="false" ht="15" hidden="false" customHeight="false" outlineLevel="0" collapsed="false">
      <c r="A174" s="12" t="n">
        <v>43203</v>
      </c>
      <c r="B174" s="13" t="n">
        <v>1419</v>
      </c>
      <c r="C174" s="14" t="n">
        <f aca="false">MIN(52,INT((A174-DATE(YEAR(A174),1,1))/7)+1)</f>
        <v>15</v>
      </c>
      <c r="D174" s="15" t="n">
        <v>9857</v>
      </c>
      <c r="E174" s="15" t="n">
        <v>244736</v>
      </c>
      <c r="F174" s="15" t="n">
        <v>234000</v>
      </c>
      <c r="G174" s="16" t="n">
        <f aca="false">$M$3+$M$4*B174</f>
        <v>9182.52426166185</v>
      </c>
      <c r="H174" s="17" t="n">
        <f aca="false">D174/G174</f>
        <v>1.0734521052293</v>
      </c>
      <c r="I174" s="18" t="n">
        <f aca="false">INDEX('2 Seasonal Index'!$D$3:$D$54,C174)</f>
        <v>1.00303091571571</v>
      </c>
      <c r="J174" s="16" t="n">
        <f aca="false">D174/I174</f>
        <v>9827.214541006</v>
      </c>
      <c r="O174" s="14" t="n">
        <f aca="false">B174</f>
        <v>1419</v>
      </c>
      <c r="P174" s="16" t="n">
        <f aca="false">E174</f>
        <v>244736</v>
      </c>
      <c r="Q174" s="16" t="n">
        <f aca="false">F174</f>
        <v>234000</v>
      </c>
    </row>
    <row r="175" customFormat="false" ht="15" hidden="false" customHeight="false" outlineLevel="0" collapsed="false">
      <c r="A175" s="12" t="n">
        <v>43210</v>
      </c>
      <c r="B175" s="13" t="n">
        <v>1420</v>
      </c>
      <c r="C175" s="14" t="n">
        <f aca="false">MIN(52,INT((A175-DATE(YEAR(A175),1,1))/7)+1)</f>
        <v>16</v>
      </c>
      <c r="D175" s="15" t="n">
        <v>9083</v>
      </c>
      <c r="E175" s="15" t="n">
        <v>227759</v>
      </c>
      <c r="F175" s="15" t="n">
        <v>236000</v>
      </c>
      <c r="G175" s="16" t="n">
        <f aca="false">$M$3+$M$4*B175</f>
        <v>9181.35158672353</v>
      </c>
      <c r="H175" s="17" t="n">
        <f aca="false">D175/G175</f>
        <v>0.989287896689879</v>
      </c>
      <c r="I175" s="18" t="n">
        <f aca="false">INDEX('2 Seasonal Index'!$D$3:$D$54,C175)</f>
        <v>1.00209740802543</v>
      </c>
      <c r="J175" s="16" t="n">
        <f aca="false">D175/I175</f>
        <v>9063.98911648471</v>
      </c>
      <c r="O175" s="14" t="n">
        <f aca="false">B175</f>
        <v>1420</v>
      </c>
      <c r="P175" s="16" t="n">
        <f aca="false">E175</f>
        <v>227759</v>
      </c>
      <c r="Q175" s="16" t="n">
        <f aca="false">F175</f>
        <v>236000</v>
      </c>
    </row>
    <row r="176" customFormat="false" ht="15" hidden="false" customHeight="false" outlineLevel="0" collapsed="false">
      <c r="A176" s="12" t="n">
        <v>43217</v>
      </c>
      <c r="B176" s="13" t="n">
        <v>1421</v>
      </c>
      <c r="C176" s="14" t="n">
        <f aca="false">MIN(52,INT((A176-DATE(YEAR(A176),1,1))/7)+1)</f>
        <v>17</v>
      </c>
      <c r="D176" s="15" t="n">
        <v>9090</v>
      </c>
      <c r="E176" s="15" t="n">
        <v>227759</v>
      </c>
      <c r="F176" s="15" t="n">
        <v>207000</v>
      </c>
      <c r="G176" s="16" t="n">
        <f aca="false">$M$3+$M$4*B176</f>
        <v>9180.17891178521</v>
      </c>
      <c r="H176" s="17" t="n">
        <f aca="false">D176/G176</f>
        <v>0.990176780577834</v>
      </c>
      <c r="I176" s="18" t="n">
        <f aca="false">INDEX('2 Seasonal Index'!$D$3:$D$54,C176)</f>
        <v>0.985720009085136</v>
      </c>
      <c r="J176" s="16" t="n">
        <f aca="false">D176/I176</f>
        <v>9221.68558639343</v>
      </c>
      <c r="O176" s="14" t="n">
        <f aca="false">B176</f>
        <v>1421</v>
      </c>
      <c r="P176" s="16" t="n">
        <f aca="false">E176</f>
        <v>227759</v>
      </c>
      <c r="Q176" s="16" t="n">
        <f aca="false">F176</f>
        <v>207000</v>
      </c>
    </row>
    <row r="177" customFormat="false" ht="15" hidden="false" customHeight="false" outlineLevel="0" collapsed="false">
      <c r="A177" s="12" t="n">
        <v>43224</v>
      </c>
      <c r="B177" s="13" t="n">
        <v>1422</v>
      </c>
      <c r="C177" s="14" t="n">
        <f aca="false">MIN(52,INT((A177-DATE(YEAR(A177),1,1))/7)+1)</f>
        <v>18</v>
      </c>
      <c r="D177" s="15" t="n">
        <v>9775</v>
      </c>
      <c r="E177" s="15" t="n">
        <v>227759</v>
      </c>
      <c r="F177" s="15" t="n">
        <v>209000</v>
      </c>
      <c r="G177" s="16" t="n">
        <f aca="false">$M$3+$M$4*B177</f>
        <v>9179.00623684689</v>
      </c>
      <c r="H177" s="17" t="n">
        <f aca="false">D177/G177</f>
        <v>1.0649300967637</v>
      </c>
      <c r="I177" s="18" t="n">
        <f aca="false">INDEX('2 Seasonal Index'!$D$3:$D$54,C177)</f>
        <v>1.01814015000929</v>
      </c>
      <c r="J177" s="16" t="n">
        <f aca="false">D177/I177</f>
        <v>9600.83933426137</v>
      </c>
      <c r="O177" s="14" t="n">
        <f aca="false">B177</f>
        <v>1422</v>
      </c>
      <c r="P177" s="16" t="n">
        <f aca="false">E177</f>
        <v>227759</v>
      </c>
      <c r="Q177" s="16" t="n">
        <f aca="false">F177</f>
        <v>209000</v>
      </c>
    </row>
    <row r="178" customFormat="false" ht="15" hidden="false" customHeight="false" outlineLevel="0" collapsed="false">
      <c r="A178" s="12" t="n">
        <v>43231</v>
      </c>
      <c r="B178" s="13" t="n">
        <v>1423</v>
      </c>
      <c r="C178" s="14" t="n">
        <f aca="false">MIN(52,INT((A178-DATE(YEAR(A178),1,1))/7)+1)</f>
        <v>19</v>
      </c>
      <c r="D178" s="15" t="n">
        <v>9531</v>
      </c>
      <c r="E178" s="15" t="n">
        <v>227759</v>
      </c>
      <c r="F178" s="15" t="n">
        <v>211000</v>
      </c>
      <c r="G178" s="16" t="n">
        <f aca="false">$M$3+$M$4*B178</f>
        <v>9177.83356190857</v>
      </c>
      <c r="H178" s="17" t="n">
        <f aca="false">D178/G178</f>
        <v>1.03848037074427</v>
      </c>
      <c r="I178" s="18" t="n">
        <f aca="false">INDEX('2 Seasonal Index'!$D$3:$D$54,C178)</f>
        <v>1.01337123918897</v>
      </c>
      <c r="J178" s="16" t="n">
        <f aca="false">D178/I178</f>
        <v>9405.24028255229</v>
      </c>
      <c r="O178" s="14" t="n">
        <f aca="false">B178</f>
        <v>1423</v>
      </c>
      <c r="P178" s="16" t="n">
        <f aca="false">E178</f>
        <v>227759</v>
      </c>
      <c r="Q178" s="16" t="n">
        <f aca="false">F178</f>
        <v>211000</v>
      </c>
    </row>
    <row r="179" customFormat="false" ht="15" hidden="false" customHeight="false" outlineLevel="0" collapsed="false">
      <c r="A179" s="12" t="n">
        <v>43238</v>
      </c>
      <c r="B179" s="13" t="n">
        <v>1424</v>
      </c>
      <c r="C179" s="14" t="n">
        <f aca="false">MIN(52,INT((A179-DATE(YEAR(A179),1,1))/7)+1)</f>
        <v>20</v>
      </c>
      <c r="D179" s="15" t="n">
        <v>9689</v>
      </c>
      <c r="E179" s="15" t="n">
        <v>270705</v>
      </c>
      <c r="F179" s="15" t="n">
        <v>222000</v>
      </c>
      <c r="G179" s="16" t="n">
        <f aca="false">$M$3+$M$4*B179</f>
        <v>9176.66088697025</v>
      </c>
      <c r="H179" s="17" t="n">
        <f aca="false">D179/G179</f>
        <v>1.05583066862122</v>
      </c>
      <c r="I179" s="18" t="n">
        <f aca="false">INDEX('2 Seasonal Index'!$D$3:$D$54,C179)</f>
        <v>1.03551191118317</v>
      </c>
      <c r="J179" s="16" t="n">
        <f aca="false">D179/I179</f>
        <v>9356.72481925334</v>
      </c>
      <c r="O179" s="14" t="n">
        <f aca="false">B179</f>
        <v>1424</v>
      </c>
      <c r="P179" s="16" t="n">
        <f aca="false">E179</f>
        <v>270705</v>
      </c>
      <c r="Q179" s="16" t="n">
        <f aca="false">F179</f>
        <v>222000</v>
      </c>
    </row>
    <row r="180" customFormat="false" ht="15" hidden="false" customHeight="false" outlineLevel="0" collapsed="false">
      <c r="A180" s="12" t="n">
        <v>43245</v>
      </c>
      <c r="B180" s="13" t="n">
        <v>1425</v>
      </c>
      <c r="C180" s="14" t="n">
        <f aca="false">MIN(52,INT((A180-DATE(YEAR(A180),1,1))/7)+1)</f>
        <v>21</v>
      </c>
      <c r="D180" s="15" t="n">
        <v>9689</v>
      </c>
      <c r="E180" s="15" t="n">
        <v>270705</v>
      </c>
      <c r="F180" s="15" t="n">
        <v>230000</v>
      </c>
      <c r="G180" s="16" t="n">
        <f aca="false">$M$3+$M$4*B180</f>
        <v>9175.48821203193</v>
      </c>
      <c r="H180" s="17" t="n">
        <f aca="false">D180/G180</f>
        <v>1.05596560925169</v>
      </c>
      <c r="I180" s="18" t="n">
        <f aca="false">INDEX('2 Seasonal Index'!$D$3:$D$54,C180)</f>
        <v>1.0352245807811</v>
      </c>
      <c r="J180" s="16" t="n">
        <f aca="false">D180/I180</f>
        <v>9359.32181275046</v>
      </c>
      <c r="O180" s="14" t="n">
        <f aca="false">B180</f>
        <v>1425</v>
      </c>
      <c r="P180" s="16" t="n">
        <f aca="false">E180</f>
        <v>270705</v>
      </c>
      <c r="Q180" s="16" t="n">
        <f aca="false">F180</f>
        <v>230000</v>
      </c>
    </row>
    <row r="181" customFormat="false" ht="15" hidden="false" customHeight="false" outlineLevel="0" collapsed="false">
      <c r="A181" s="12" t="n">
        <v>43252</v>
      </c>
      <c r="B181" s="13" t="n">
        <v>1426</v>
      </c>
      <c r="C181" s="14" t="n">
        <f aca="false">MIN(52,INT((A181-DATE(YEAR(A181),1,1))/7)+1)</f>
        <v>22</v>
      </c>
      <c r="D181" s="15" t="n">
        <v>8976</v>
      </c>
      <c r="E181" s="15" t="n">
        <v>270705</v>
      </c>
      <c r="F181" s="15" t="n">
        <v>222000</v>
      </c>
      <c r="G181" s="16" t="n">
        <f aca="false">$M$3+$M$4*B181</f>
        <v>9174.31553709361</v>
      </c>
      <c r="H181" s="17" t="n">
        <f aca="false">D181/G181</f>
        <v>0.978383614963778</v>
      </c>
      <c r="I181" s="18" t="n">
        <f aca="false">INDEX('2 Seasonal Index'!$D$3:$D$54,C181)</f>
        <v>1.01397917017061</v>
      </c>
      <c r="J181" s="16" t="n">
        <f aca="false">D181/I181</f>
        <v>8852.25285100256</v>
      </c>
      <c r="O181" s="14" t="n">
        <f aca="false">B181</f>
        <v>1426</v>
      </c>
      <c r="P181" s="16" t="n">
        <f aca="false">E181</f>
        <v>270705</v>
      </c>
      <c r="Q181" s="16" t="n">
        <f aca="false">F181</f>
        <v>222000</v>
      </c>
    </row>
    <row r="182" customFormat="false" ht="15" hidden="false" customHeight="false" outlineLevel="0" collapsed="false">
      <c r="A182" s="12" t="n">
        <v>43259</v>
      </c>
      <c r="B182" s="13" t="n">
        <v>1427</v>
      </c>
      <c r="C182" s="14" t="n">
        <f aca="false">MIN(52,INT((A182-DATE(YEAR(A182),1,1))/7)+1)</f>
        <v>23</v>
      </c>
      <c r="D182" s="15" t="n">
        <v>9879</v>
      </c>
      <c r="E182" s="15" t="n">
        <v>270705</v>
      </c>
      <c r="F182" s="15" t="n">
        <v>223000</v>
      </c>
      <c r="G182" s="16" t="n">
        <f aca="false">$M$3+$M$4*B182</f>
        <v>9173.14286215529</v>
      </c>
      <c r="H182" s="17" t="n">
        <f aca="false">D182/G182</f>
        <v>1.07694823338649</v>
      </c>
      <c r="I182" s="18" t="n">
        <f aca="false">INDEX('2 Seasonal Index'!$D$3:$D$54,C182)</f>
        <v>1.03755973679196</v>
      </c>
      <c r="J182" s="16" t="n">
        <f aca="false">D182/I182</f>
        <v>9521.37949237022</v>
      </c>
      <c r="O182" s="14" t="n">
        <f aca="false">B182</f>
        <v>1427</v>
      </c>
      <c r="P182" s="16" t="n">
        <f aca="false">E182</f>
        <v>270705</v>
      </c>
      <c r="Q182" s="16" t="n">
        <f aca="false">F182</f>
        <v>223000</v>
      </c>
    </row>
    <row r="183" customFormat="false" ht="15" hidden="false" customHeight="false" outlineLevel="0" collapsed="false">
      <c r="A183" s="12" t="n">
        <v>43266</v>
      </c>
      <c r="B183" s="13" t="n">
        <v>1428</v>
      </c>
      <c r="C183" s="14" t="n">
        <f aca="false">MIN(52,INT((A183-DATE(YEAR(A183),1,1))/7)+1)</f>
        <v>24</v>
      </c>
      <c r="D183" s="15" t="n">
        <v>9326</v>
      </c>
      <c r="E183" s="15" t="n">
        <v>275127</v>
      </c>
      <c r="F183" s="15" t="n">
        <v>222000</v>
      </c>
      <c r="G183" s="16" t="n">
        <f aca="false">$M$3+$M$4*B183</f>
        <v>9171.97018721698</v>
      </c>
      <c r="H183" s="17" t="n">
        <f aca="false">D183/G183</f>
        <v>1.01679353613662</v>
      </c>
      <c r="I183" s="18" t="n">
        <f aca="false">INDEX('2 Seasonal Index'!$D$3:$D$54,C183)</f>
        <v>1.03445132468082</v>
      </c>
      <c r="J183" s="16" t="n">
        <f aca="false">D183/I183</f>
        <v>9015.40727677791</v>
      </c>
      <c r="O183" s="14" t="n">
        <f aca="false">B183</f>
        <v>1428</v>
      </c>
      <c r="P183" s="16" t="n">
        <f aca="false">E183</f>
        <v>275127</v>
      </c>
      <c r="Q183" s="16" t="n">
        <f aca="false">F183</f>
        <v>222000</v>
      </c>
    </row>
    <row r="184" customFormat="false" ht="15" hidden="false" customHeight="false" outlineLevel="0" collapsed="false">
      <c r="A184" s="12" t="n">
        <v>43273</v>
      </c>
      <c r="B184" s="13" t="n">
        <v>1429</v>
      </c>
      <c r="C184" s="14" t="n">
        <f aca="false">MIN(52,INT((A184-DATE(YEAR(A184),1,1))/7)+1)</f>
        <v>25</v>
      </c>
      <c r="D184" s="15" t="n">
        <v>9731</v>
      </c>
      <c r="E184" s="15" t="n">
        <v>275127</v>
      </c>
      <c r="F184" s="15" t="n">
        <v>218000</v>
      </c>
      <c r="G184" s="16" t="n">
        <f aca="false">$M$3+$M$4*B184</f>
        <v>9170.79751227866</v>
      </c>
      <c r="H184" s="17" t="n">
        <f aca="false">D184/G184</f>
        <v>1.06108547124405</v>
      </c>
      <c r="I184" s="18" t="n">
        <f aca="false">INDEX('2 Seasonal Index'!$D$3:$D$54,C184)</f>
        <v>1.03606069309931</v>
      </c>
      <c r="J184" s="16" t="n">
        <f aca="false">D184/I184</f>
        <v>9392.30690326679</v>
      </c>
      <c r="O184" s="14" t="n">
        <f aca="false">B184</f>
        <v>1429</v>
      </c>
      <c r="P184" s="16" t="n">
        <f aca="false">E184</f>
        <v>275127</v>
      </c>
      <c r="Q184" s="16" t="n">
        <f aca="false">F184</f>
        <v>218000</v>
      </c>
    </row>
    <row r="185" customFormat="false" ht="15" hidden="false" customHeight="false" outlineLevel="0" collapsed="false">
      <c r="A185" s="12" t="n">
        <v>43280</v>
      </c>
      <c r="B185" s="13" t="n">
        <v>1430</v>
      </c>
      <c r="C185" s="14" t="n">
        <f aca="false">MIN(52,INT((A185-DATE(YEAR(A185),1,1))/7)+1)</f>
        <v>26</v>
      </c>
      <c r="D185" s="15" t="n">
        <v>9869</v>
      </c>
      <c r="E185" s="15" t="n">
        <v>275127</v>
      </c>
      <c r="F185" s="15" t="n">
        <v>222000</v>
      </c>
      <c r="G185" s="16" t="n">
        <f aca="false">$M$3+$M$4*B185</f>
        <v>9169.62483734034</v>
      </c>
      <c r="H185" s="17" t="n">
        <f aca="false">D185/G185</f>
        <v>1.07627085895725</v>
      </c>
      <c r="I185" s="18" t="n">
        <f aca="false">INDEX('2 Seasonal Index'!$D$3:$D$54,C185)</f>
        <v>1.05775104170879</v>
      </c>
      <c r="J185" s="16" t="n">
        <f aca="false">D185/I185</f>
        <v>9330.17280139632</v>
      </c>
      <c r="O185" s="14" t="n">
        <f aca="false">B185</f>
        <v>1430</v>
      </c>
      <c r="P185" s="16" t="n">
        <f aca="false">E185</f>
        <v>275127</v>
      </c>
      <c r="Q185" s="16" t="n">
        <f aca="false">F185</f>
        <v>222000</v>
      </c>
    </row>
    <row r="186" customFormat="false" ht="15" hidden="false" customHeight="false" outlineLevel="0" collapsed="false">
      <c r="A186" s="12" t="n">
        <v>43287</v>
      </c>
      <c r="B186" s="13" t="n">
        <v>1431</v>
      </c>
      <c r="C186" s="14" t="n">
        <f aca="false">MIN(52,INT((A186-DATE(YEAR(A186),1,1))/7)+1)</f>
        <v>27</v>
      </c>
      <c r="D186" s="15" t="n">
        <v>9275</v>
      </c>
      <c r="E186" s="15" t="n">
        <v>275127</v>
      </c>
      <c r="F186" s="15" t="n">
        <v>228000</v>
      </c>
      <c r="G186" s="16" t="n">
        <f aca="false">$M$3+$M$4*B186</f>
        <v>9168.45216240202</v>
      </c>
      <c r="H186" s="17" t="n">
        <f aca="false">D186/G186</f>
        <v>1.01162113688447</v>
      </c>
      <c r="I186" s="18" t="n">
        <f aca="false">INDEX('2 Seasonal Index'!$D$3:$D$54,C186)</f>
        <v>1.02126188503389</v>
      </c>
      <c r="J186" s="16" t="n">
        <f aca="false">D186/I186</f>
        <v>9081.90165120306</v>
      </c>
      <c r="O186" s="14" t="n">
        <f aca="false">B186</f>
        <v>1431</v>
      </c>
      <c r="P186" s="16" t="n">
        <f aca="false">E186</f>
        <v>275127</v>
      </c>
      <c r="Q186" s="16" t="n">
        <f aca="false">F186</f>
        <v>228000</v>
      </c>
    </row>
    <row r="187" customFormat="false" ht="15" hidden="false" customHeight="false" outlineLevel="0" collapsed="false">
      <c r="A187" s="12" t="n">
        <v>43294</v>
      </c>
      <c r="B187" s="13" t="n">
        <v>1432</v>
      </c>
      <c r="C187" s="14" t="n">
        <f aca="false">MIN(52,INT((A187-DATE(YEAR(A187),1,1))/7)+1)</f>
        <v>28</v>
      </c>
      <c r="D187" s="15" t="n">
        <v>9708</v>
      </c>
      <c r="E187" s="15" t="n">
        <v>275127</v>
      </c>
      <c r="F187" s="15" t="n">
        <v>216000</v>
      </c>
      <c r="G187" s="16" t="n">
        <f aca="false">$M$3+$M$4*B187</f>
        <v>9167.2794874637</v>
      </c>
      <c r="H187" s="17" t="n">
        <f aca="false">D187/G187</f>
        <v>1.05898374902562</v>
      </c>
      <c r="I187" s="18" t="n">
        <f aca="false">INDEX('2 Seasonal Index'!$D$3:$D$54,C187)</f>
        <v>1.01350902481598</v>
      </c>
      <c r="J187" s="16" t="n">
        <f aca="false">D187/I187</f>
        <v>9578.60242217642</v>
      </c>
      <c r="O187" s="14" t="n">
        <f aca="false">B187</f>
        <v>1432</v>
      </c>
      <c r="P187" s="16" t="n">
        <f aca="false">E187</f>
        <v>275127</v>
      </c>
      <c r="Q187" s="16" t="n">
        <f aca="false">F187</f>
        <v>216000</v>
      </c>
    </row>
    <row r="188" customFormat="false" ht="15" hidden="false" customHeight="false" outlineLevel="0" collapsed="false">
      <c r="A188" s="12" t="n">
        <v>43301</v>
      </c>
      <c r="B188" s="13" t="n">
        <v>1433</v>
      </c>
      <c r="C188" s="14" t="n">
        <f aca="false">MIN(52,INT((A188-DATE(YEAR(A188),1,1))/7)+1)</f>
        <v>29</v>
      </c>
      <c r="D188" s="15" t="n">
        <v>9846</v>
      </c>
      <c r="E188" s="15" t="n">
        <v>283713</v>
      </c>
      <c r="F188" s="15" t="n">
        <v>205000</v>
      </c>
      <c r="G188" s="16" t="n">
        <f aca="false">$M$3+$M$4*B188</f>
        <v>9166.10681252538</v>
      </c>
      <c r="H188" s="17" t="n">
        <f aca="false">D188/G188</f>
        <v>1.07417469612568</v>
      </c>
      <c r="I188" s="18" t="n">
        <f aca="false">INDEX('2 Seasonal Index'!$D$3:$D$54,C188)</f>
        <v>1.05195667886475</v>
      </c>
      <c r="J188" s="16" t="n">
        <f aca="false">D188/I188</f>
        <v>9359.70101984197</v>
      </c>
      <c r="O188" s="14" t="n">
        <f aca="false">B188</f>
        <v>1433</v>
      </c>
      <c r="P188" s="16" t="n">
        <f aca="false">E188</f>
        <v>283713</v>
      </c>
      <c r="Q188" s="16" t="n">
        <f aca="false">F188</f>
        <v>205000</v>
      </c>
    </row>
    <row r="189" customFormat="false" ht="15" hidden="false" customHeight="false" outlineLevel="0" collapsed="false">
      <c r="A189" s="12" t="n">
        <v>43308</v>
      </c>
      <c r="B189" s="13" t="n">
        <v>1434</v>
      </c>
      <c r="C189" s="14" t="n">
        <f aca="false">MIN(52,INT((A189-DATE(YEAR(A189),1,1))/7)+1)</f>
        <v>30</v>
      </c>
      <c r="D189" s="15" t="n">
        <v>9878</v>
      </c>
      <c r="E189" s="15" t="n">
        <v>283713</v>
      </c>
      <c r="F189" s="15" t="n">
        <v>210000</v>
      </c>
      <c r="G189" s="16" t="n">
        <f aca="false">$M$3+$M$4*B189</f>
        <v>9164.93413758706</v>
      </c>
      <c r="H189" s="17" t="n">
        <f aca="false">D189/G189</f>
        <v>1.07780370832001</v>
      </c>
      <c r="I189" s="18" t="n">
        <f aca="false">INDEX('2 Seasonal Index'!$D$3:$D$54,C189)</f>
        <v>1.03171304153628</v>
      </c>
      <c r="J189" s="16" t="n">
        <f aca="false">D189/I189</f>
        <v>9574.36768007808</v>
      </c>
      <c r="O189" s="14" t="n">
        <f aca="false">B189</f>
        <v>1434</v>
      </c>
      <c r="P189" s="16" t="n">
        <f aca="false">E189</f>
        <v>283713</v>
      </c>
      <c r="Q189" s="16" t="n">
        <f aca="false">F189</f>
        <v>210000</v>
      </c>
    </row>
    <row r="190" customFormat="false" ht="15" hidden="false" customHeight="false" outlineLevel="0" collapsed="false">
      <c r="A190" s="12" t="n">
        <v>43315</v>
      </c>
      <c r="B190" s="13" t="n">
        <v>1435</v>
      </c>
      <c r="C190" s="14" t="n">
        <f aca="false">MIN(52,INT((A190-DATE(YEAR(A190),1,1))/7)+1)</f>
        <v>31</v>
      </c>
      <c r="D190" s="15" t="n">
        <v>9346</v>
      </c>
      <c r="E190" s="15" t="n">
        <v>283713</v>
      </c>
      <c r="F190" s="15" t="n">
        <v>207000</v>
      </c>
      <c r="G190" s="16" t="n">
        <f aca="false">$M$3+$M$4*B190</f>
        <v>9163.76146264874</v>
      </c>
      <c r="H190" s="17" t="n">
        <f aca="false">D190/G190</f>
        <v>1.0198868704837</v>
      </c>
      <c r="I190" s="18" t="n">
        <f aca="false">INDEX('2 Seasonal Index'!$D$3:$D$54,C190)</f>
        <v>1.03997322006122</v>
      </c>
      <c r="J190" s="16" t="n">
        <f aca="false">D190/I190</f>
        <v>8986.76987033362</v>
      </c>
      <c r="O190" s="14" t="n">
        <f aca="false">B190</f>
        <v>1435</v>
      </c>
      <c r="P190" s="16" t="n">
        <f aca="false">E190</f>
        <v>283713</v>
      </c>
      <c r="Q190" s="16" t="n">
        <f aca="false">F190</f>
        <v>207000</v>
      </c>
    </row>
    <row r="191" customFormat="false" ht="15" hidden="false" customHeight="false" outlineLevel="0" collapsed="false">
      <c r="A191" s="12" t="n">
        <v>43322</v>
      </c>
      <c r="B191" s="13" t="n">
        <v>1436</v>
      </c>
      <c r="C191" s="14" t="n">
        <f aca="false">MIN(52,INT((A191-DATE(YEAR(A191),1,1))/7)+1)</f>
        <v>32</v>
      </c>
      <c r="D191" s="15" t="n">
        <v>9512</v>
      </c>
      <c r="E191" s="15" t="n">
        <v>283713</v>
      </c>
      <c r="F191" s="15" t="n">
        <v>210000</v>
      </c>
      <c r="G191" s="16" t="n">
        <f aca="false">$M$3+$M$4*B191</f>
        <v>9162.58878771042</v>
      </c>
      <c r="H191" s="17" t="n">
        <f aca="false">D191/G191</f>
        <v>1.03813455131351</v>
      </c>
      <c r="I191" s="18" t="n">
        <f aca="false">INDEX('2 Seasonal Index'!$D$3:$D$54,C191)</f>
        <v>1.04061693174176</v>
      </c>
      <c r="J191" s="16" t="n">
        <f aca="false">D191/I191</f>
        <v>9140.73153132254</v>
      </c>
      <c r="O191" s="14" t="n">
        <f aca="false">B191</f>
        <v>1436</v>
      </c>
      <c r="P191" s="16" t="n">
        <f aca="false">E191</f>
        <v>283713</v>
      </c>
      <c r="Q191" s="16" t="n">
        <f aca="false">F191</f>
        <v>210000</v>
      </c>
    </row>
    <row r="192" customFormat="false" ht="15" hidden="false" customHeight="false" outlineLevel="0" collapsed="false">
      <c r="A192" s="12" t="n">
        <v>43329</v>
      </c>
      <c r="B192" s="13" t="n">
        <v>1437</v>
      </c>
      <c r="C192" s="14" t="n">
        <f aca="false">MIN(52,INT((A192-DATE(YEAR(A192),1,1))/7)+1)</f>
        <v>33</v>
      </c>
      <c r="D192" s="15" t="n">
        <v>9453</v>
      </c>
      <c r="E192" s="15" t="n">
        <v>282648</v>
      </c>
      <c r="F192" s="15" t="n">
        <v>206000</v>
      </c>
      <c r="G192" s="16" t="n">
        <f aca="false">$M$3+$M$4*B192</f>
        <v>9161.4161127721</v>
      </c>
      <c r="H192" s="17" t="n">
        <f aca="false">D192/G192</f>
        <v>1.03182738166662</v>
      </c>
      <c r="I192" s="18" t="n">
        <f aca="false">INDEX('2 Seasonal Index'!$D$3:$D$54,C192)</f>
        <v>1.02747806583438</v>
      </c>
      <c r="J192" s="16" t="n">
        <f aca="false">D192/I192</f>
        <v>9200.19639769492</v>
      </c>
      <c r="O192" s="14" t="n">
        <f aca="false">B192</f>
        <v>1437</v>
      </c>
      <c r="P192" s="16" t="n">
        <f aca="false">E192</f>
        <v>282648</v>
      </c>
      <c r="Q192" s="16" t="n">
        <f aca="false">F192</f>
        <v>206000</v>
      </c>
    </row>
    <row r="193" customFormat="false" ht="15" hidden="false" customHeight="false" outlineLevel="0" collapsed="false">
      <c r="A193" s="12" t="n">
        <v>43336</v>
      </c>
      <c r="B193" s="13" t="n">
        <v>1438</v>
      </c>
      <c r="C193" s="14" t="n">
        <f aca="false">MIN(52,INT((A193-DATE(YEAR(A193),1,1))/7)+1)</f>
        <v>34</v>
      </c>
      <c r="D193" s="15" t="n">
        <v>9899</v>
      </c>
      <c r="E193" s="15" t="n">
        <v>282648</v>
      </c>
      <c r="F193" s="15" t="n">
        <v>207000</v>
      </c>
      <c r="G193" s="16" t="n">
        <f aca="false">$M$3+$M$4*B193</f>
        <v>9160.24343783379</v>
      </c>
      <c r="H193" s="17" t="n">
        <f aca="false">D193/G193</f>
        <v>1.08064813639286</v>
      </c>
      <c r="I193" s="18" t="n">
        <f aca="false">INDEX('2 Seasonal Index'!$D$3:$D$54,C193)</f>
        <v>1.03816398467415</v>
      </c>
      <c r="J193" s="16" t="n">
        <f aca="false">D193/I193</f>
        <v>9535.10249453226</v>
      </c>
      <c r="O193" s="14" t="n">
        <f aca="false">B193</f>
        <v>1438</v>
      </c>
      <c r="P193" s="16" t="n">
        <f aca="false">E193</f>
        <v>282648</v>
      </c>
      <c r="Q193" s="16" t="n">
        <f aca="false">F193</f>
        <v>207000</v>
      </c>
    </row>
    <row r="194" customFormat="false" ht="15" hidden="false" customHeight="false" outlineLevel="0" collapsed="false">
      <c r="A194" s="12" t="n">
        <v>43343</v>
      </c>
      <c r="B194" s="13" t="n">
        <v>1439</v>
      </c>
      <c r="C194" s="14" t="n">
        <f aca="false">MIN(52,INT((A194-DATE(YEAR(A194),1,1))/7)+1)</f>
        <v>35</v>
      </c>
      <c r="D194" s="15" t="n">
        <v>9734</v>
      </c>
      <c r="E194" s="15" t="n">
        <v>282648</v>
      </c>
      <c r="F194" s="15" t="n">
        <v>211000</v>
      </c>
      <c r="G194" s="16" t="n">
        <f aca="false">$M$3+$M$4*B194</f>
        <v>9159.07076289547</v>
      </c>
      <c r="H194" s="17" t="n">
        <f aca="false">D194/G194</f>
        <v>1.06277156842522</v>
      </c>
      <c r="I194" s="18" t="n">
        <f aca="false">INDEX('2 Seasonal Index'!$D$3:$D$54,C194)</f>
        <v>1.02246595866814</v>
      </c>
      <c r="J194" s="16" t="n">
        <f aca="false">D194/I194</f>
        <v>9520.12134729598</v>
      </c>
      <c r="O194" s="14" t="n">
        <f aca="false">B194</f>
        <v>1439</v>
      </c>
      <c r="P194" s="16" t="n">
        <f aca="false">E194</f>
        <v>282648</v>
      </c>
      <c r="Q194" s="16" t="n">
        <f aca="false">F194</f>
        <v>211000</v>
      </c>
    </row>
    <row r="195" customFormat="false" ht="15" hidden="false" customHeight="false" outlineLevel="0" collapsed="false">
      <c r="A195" s="12" t="n">
        <v>43350</v>
      </c>
      <c r="B195" s="13" t="n">
        <v>1440</v>
      </c>
      <c r="C195" s="14" t="n">
        <f aca="false">MIN(52,INT((A195-DATE(YEAR(A195),1,1))/7)+1)</f>
        <v>36</v>
      </c>
      <c r="D195" s="15" t="n">
        <v>9649</v>
      </c>
      <c r="E195" s="15" t="n">
        <v>282648</v>
      </c>
      <c r="F195" s="15" t="n">
        <v>201000</v>
      </c>
      <c r="G195" s="16" t="n">
        <f aca="false">$M$3+$M$4*B195</f>
        <v>9157.89808795715</v>
      </c>
      <c r="H195" s="17" t="n">
        <f aca="false">D195/G195</f>
        <v>1.05362605123207</v>
      </c>
      <c r="I195" s="18" t="n">
        <f aca="false">INDEX('2 Seasonal Index'!$D$3:$D$54,C195)</f>
        <v>1.00361083828068</v>
      </c>
      <c r="J195" s="16" t="n">
        <f aca="false">D195/I195</f>
        <v>9614.28437394128</v>
      </c>
      <c r="O195" s="14" t="n">
        <f aca="false">B195</f>
        <v>1440</v>
      </c>
      <c r="P195" s="16" t="n">
        <f aca="false">E195</f>
        <v>282648</v>
      </c>
      <c r="Q195" s="16" t="n">
        <f aca="false">F195</f>
        <v>201000</v>
      </c>
    </row>
    <row r="196" customFormat="false" ht="15" hidden="false" customHeight="false" outlineLevel="0" collapsed="false">
      <c r="A196" s="12" t="n">
        <v>43357</v>
      </c>
      <c r="B196" s="13" t="n">
        <v>1441</v>
      </c>
      <c r="C196" s="14" t="n">
        <f aca="false">MIN(52,INT((A196-DATE(YEAR(A196),1,1))/7)+1)</f>
        <v>37</v>
      </c>
      <c r="D196" s="15" t="n">
        <v>9534</v>
      </c>
      <c r="E196" s="15" t="n">
        <v>282648</v>
      </c>
      <c r="F196" s="15" t="n">
        <v>204000</v>
      </c>
      <c r="G196" s="16" t="n">
        <f aca="false">$M$3+$M$4*B196</f>
        <v>9156.72541301883</v>
      </c>
      <c r="H196" s="17" t="n">
        <f aca="false">D196/G196</f>
        <v>1.04120191115972</v>
      </c>
      <c r="I196" s="18" t="n">
        <f aca="false">INDEX('2 Seasonal Index'!$D$3:$D$54,C196)</f>
        <v>0.988109440121203</v>
      </c>
      <c r="J196" s="16" t="n">
        <f aca="false">D196/I196</f>
        <v>9648.72878740086</v>
      </c>
      <c r="O196" s="14" t="n">
        <f aca="false">B196</f>
        <v>1441</v>
      </c>
      <c r="P196" s="16" t="n">
        <f aca="false">E196</f>
        <v>282648</v>
      </c>
      <c r="Q196" s="16" t="n">
        <f aca="false">F196</f>
        <v>204000</v>
      </c>
    </row>
    <row r="197" customFormat="false" ht="15" hidden="false" customHeight="false" outlineLevel="0" collapsed="false">
      <c r="A197" s="12" t="n">
        <v>43364</v>
      </c>
      <c r="B197" s="13" t="n">
        <v>1442</v>
      </c>
      <c r="C197" s="14" t="n">
        <f aca="false">MIN(52,INT((A197-DATE(YEAR(A197),1,1))/7)+1)</f>
        <v>38</v>
      </c>
      <c r="D197" s="15" t="n">
        <v>8987</v>
      </c>
      <c r="E197" s="15" t="n">
        <v>290989</v>
      </c>
      <c r="F197" s="15" t="n">
        <v>206000</v>
      </c>
      <c r="G197" s="16" t="n">
        <f aca="false">$M$3+$M$4*B197</f>
        <v>9155.55273808051</v>
      </c>
      <c r="H197" s="17" t="n">
        <f aca="false">D197/G197</f>
        <v>0.981590107893819</v>
      </c>
      <c r="I197" s="18" t="n">
        <f aca="false">INDEX('2 Seasonal Index'!$D$3:$D$54,C197)</f>
        <v>1.00996081852754</v>
      </c>
      <c r="J197" s="16" t="n">
        <f aca="false">D197/I197</f>
        <v>8898.36500103293</v>
      </c>
      <c r="O197" s="14" t="n">
        <f aca="false">B197</f>
        <v>1442</v>
      </c>
      <c r="P197" s="16" t="n">
        <f aca="false">E197</f>
        <v>290989</v>
      </c>
      <c r="Q197" s="16" t="n">
        <f aca="false">F197</f>
        <v>206000</v>
      </c>
    </row>
    <row r="198" customFormat="false" ht="15" hidden="false" customHeight="false" outlineLevel="0" collapsed="false">
      <c r="A198" s="12" t="n">
        <v>43371</v>
      </c>
      <c r="B198" s="13" t="n">
        <v>1443</v>
      </c>
      <c r="C198" s="14" t="n">
        <f aca="false">MIN(52,INT((A198-DATE(YEAR(A198),1,1))/7)+1)</f>
        <v>39</v>
      </c>
      <c r="D198" s="15" t="n">
        <v>9102</v>
      </c>
      <c r="E198" s="15" t="n">
        <v>290989</v>
      </c>
      <c r="F198" s="15" t="n">
        <v>205000</v>
      </c>
      <c r="G198" s="16" t="n">
        <f aca="false">$M$3+$M$4*B198</f>
        <v>9154.38006314219</v>
      </c>
      <c r="H198" s="17" t="n">
        <f aca="false">D198/G198</f>
        <v>0.994278141962547</v>
      </c>
      <c r="I198" s="18" t="n">
        <f aca="false">INDEX('2 Seasonal Index'!$D$3:$D$54,C198)</f>
        <v>0.982712197281613</v>
      </c>
      <c r="J198" s="16" t="n">
        <f aca="false">D198/I198</f>
        <v>9262.12173327861</v>
      </c>
      <c r="O198" s="14" t="n">
        <f aca="false">B198</f>
        <v>1443</v>
      </c>
      <c r="P198" s="16" t="n">
        <f aca="false">E198</f>
        <v>290989</v>
      </c>
      <c r="Q198" s="16" t="n">
        <f aca="false">F198</f>
        <v>205000</v>
      </c>
    </row>
    <row r="199" customFormat="false" ht="15" hidden="false" customHeight="false" outlineLevel="0" collapsed="false">
      <c r="A199" s="12" t="n">
        <v>43378</v>
      </c>
      <c r="B199" s="13" t="n">
        <v>1444</v>
      </c>
      <c r="C199" s="14" t="n">
        <f aca="false">MIN(52,INT((A199-DATE(YEAR(A199),1,1))/7)+1)</f>
        <v>40</v>
      </c>
      <c r="D199" s="15" t="n">
        <v>9078</v>
      </c>
      <c r="E199" s="15" t="n">
        <v>290989</v>
      </c>
      <c r="F199" s="15" t="n">
        <v>210000</v>
      </c>
      <c r="G199" s="16" t="n">
        <f aca="false">$M$3+$M$4*B199</f>
        <v>9153.20738820387</v>
      </c>
      <c r="H199" s="17" t="n">
        <f aca="false">D199/G199</f>
        <v>0.991783493477839</v>
      </c>
      <c r="I199" s="18" t="n">
        <f aca="false">INDEX('2 Seasonal Index'!$D$3:$D$54,C199)</f>
        <v>1.0036663428041</v>
      </c>
      <c r="J199" s="16" t="n">
        <f aca="false">D199/I199</f>
        <v>9044.83852137295</v>
      </c>
      <c r="O199" s="14" t="n">
        <f aca="false">B199</f>
        <v>1444</v>
      </c>
      <c r="P199" s="16" t="n">
        <f aca="false">E199</f>
        <v>290989</v>
      </c>
      <c r="Q199" s="16" t="n">
        <f aca="false">F199</f>
        <v>210000</v>
      </c>
    </row>
    <row r="200" customFormat="false" ht="15" hidden="false" customHeight="false" outlineLevel="0" collapsed="false">
      <c r="A200" s="12" t="n">
        <v>43385</v>
      </c>
      <c r="B200" s="13" t="n">
        <v>1445</v>
      </c>
      <c r="C200" s="14" t="n">
        <f aca="false">MIN(52,INT((A200-DATE(YEAR(A200),1,1))/7)+1)</f>
        <v>41</v>
      </c>
      <c r="D200" s="15" t="n">
        <v>9182</v>
      </c>
      <c r="E200" s="15" t="n">
        <v>290989</v>
      </c>
      <c r="F200" s="15" t="n">
        <v>211000</v>
      </c>
      <c r="G200" s="16" t="n">
        <f aca="false">$M$3+$M$4*B200</f>
        <v>9152.03471326555</v>
      </c>
      <c r="H200" s="17" t="n">
        <f aca="false">D200/G200</f>
        <v>1.00327416663871</v>
      </c>
      <c r="I200" s="18" t="n">
        <f aca="false">INDEX('2 Seasonal Index'!$D$3:$D$54,C200)</f>
        <v>0.995835782550445</v>
      </c>
      <c r="J200" s="16" t="n">
        <f aca="false">D200/I200</f>
        <v>9220.39573280234</v>
      </c>
      <c r="O200" s="14" t="n">
        <f aca="false">B200</f>
        <v>1445</v>
      </c>
      <c r="P200" s="16" t="n">
        <f aca="false">E200</f>
        <v>290989</v>
      </c>
      <c r="Q200" s="16" t="n">
        <f aca="false">F200</f>
        <v>211000</v>
      </c>
    </row>
    <row r="201" customFormat="false" ht="15" hidden="false" customHeight="false" outlineLevel="0" collapsed="false">
      <c r="A201" s="12" t="n">
        <v>43392</v>
      </c>
      <c r="B201" s="13" t="n">
        <v>1446</v>
      </c>
      <c r="C201" s="14" t="n">
        <f aca="false">MIN(52,INT((A201-DATE(YEAR(A201),1,1))/7)+1)</f>
        <v>42</v>
      </c>
      <c r="D201" s="15" t="n">
        <v>9324</v>
      </c>
      <c r="E201" s="15" t="n">
        <v>284989</v>
      </c>
      <c r="F201" s="15" t="n">
        <v>208000</v>
      </c>
      <c r="G201" s="16" t="n">
        <f aca="false">$M$3+$M$4*B201</f>
        <v>9150.86203832723</v>
      </c>
      <c r="H201" s="17" t="n">
        <f aca="false">D201/G201</f>
        <v>1.01892039907799</v>
      </c>
      <c r="I201" s="18" t="n">
        <f aca="false">INDEX('2 Seasonal Index'!$D$3:$D$54,C201)</f>
        <v>1.00307364557144</v>
      </c>
      <c r="J201" s="16" t="n">
        <f aca="false">D201/I201</f>
        <v>9295.42914537266</v>
      </c>
      <c r="O201" s="14" t="n">
        <f aca="false">B201</f>
        <v>1446</v>
      </c>
      <c r="P201" s="16" t="n">
        <f aca="false">E201</f>
        <v>284989</v>
      </c>
      <c r="Q201" s="16" t="n">
        <f aca="false">F201</f>
        <v>208000</v>
      </c>
    </row>
    <row r="202" customFormat="false" ht="15" hidden="false" customHeight="false" outlineLevel="0" collapsed="false">
      <c r="A202" s="12" t="n">
        <v>43399</v>
      </c>
      <c r="B202" s="13" t="n">
        <v>1447</v>
      </c>
      <c r="C202" s="14" t="n">
        <f aca="false">MIN(52,INT((A202-DATE(YEAR(A202),1,1))/7)+1)</f>
        <v>43</v>
      </c>
      <c r="D202" s="15" t="n">
        <v>9262</v>
      </c>
      <c r="E202" s="15" t="n">
        <v>284989</v>
      </c>
      <c r="F202" s="15" t="n">
        <v>217000</v>
      </c>
      <c r="G202" s="16" t="n">
        <f aca="false">$M$3+$M$4*B202</f>
        <v>9149.68936338891</v>
      </c>
      <c r="H202" s="17" t="n">
        <f aca="false">D202/G202</f>
        <v>1.01227480323654</v>
      </c>
      <c r="I202" s="18" t="n">
        <f aca="false">INDEX('2 Seasonal Index'!$D$3:$D$54,C202)</f>
        <v>1.01224087755293</v>
      </c>
      <c r="J202" s="16" t="n">
        <f aca="false">D202/I202</f>
        <v>9149.99601912012</v>
      </c>
      <c r="O202" s="14" t="n">
        <f aca="false">B202</f>
        <v>1447</v>
      </c>
      <c r="P202" s="16" t="n">
        <f aca="false">E202</f>
        <v>284989</v>
      </c>
      <c r="Q202" s="16" t="n">
        <f aca="false">F202</f>
        <v>217000</v>
      </c>
    </row>
    <row r="203" customFormat="false" ht="15" hidden="false" customHeight="false" outlineLevel="0" collapsed="false">
      <c r="A203" s="12" t="n">
        <v>43406</v>
      </c>
      <c r="B203" s="13" t="n">
        <v>1448</v>
      </c>
      <c r="C203" s="14" t="n">
        <f aca="false">MIN(52,INT((A203-DATE(YEAR(A203),1,1))/7)+1)</f>
        <v>44</v>
      </c>
      <c r="D203" s="15" t="n">
        <v>9099</v>
      </c>
      <c r="E203" s="15" t="n">
        <v>284989</v>
      </c>
      <c r="F203" s="15" t="n">
        <v>216000</v>
      </c>
      <c r="G203" s="16" t="n">
        <f aca="false">$M$3+$M$4*B203</f>
        <v>9148.51668845059</v>
      </c>
      <c r="H203" s="17" t="n">
        <f aca="false">D203/G203</f>
        <v>0.994587462630625</v>
      </c>
      <c r="I203" s="18" t="n">
        <f aca="false">INDEX('2 Seasonal Index'!$D$3:$D$54,C203)</f>
        <v>1.01203159220993</v>
      </c>
      <c r="J203" s="16" t="n">
        <f aca="false">D203/I203</f>
        <v>8990.82604736763</v>
      </c>
      <c r="O203" s="14" t="n">
        <f aca="false">B203</f>
        <v>1448</v>
      </c>
      <c r="P203" s="16" t="n">
        <f aca="false">E203</f>
        <v>284989</v>
      </c>
      <c r="Q203" s="16" t="n">
        <f aca="false">F203</f>
        <v>216000</v>
      </c>
    </row>
    <row r="204" customFormat="false" ht="15" hidden="false" customHeight="false" outlineLevel="0" collapsed="false">
      <c r="A204" s="12" t="n">
        <v>43413</v>
      </c>
      <c r="B204" s="13" t="n">
        <v>1449</v>
      </c>
      <c r="C204" s="14" t="n">
        <f aca="false">MIN(52,INT((A204-DATE(YEAR(A204),1,1))/7)+1)</f>
        <v>45</v>
      </c>
      <c r="D204" s="15" t="n">
        <v>9192</v>
      </c>
      <c r="E204" s="15" t="n">
        <v>284989</v>
      </c>
      <c r="F204" s="15" t="n">
        <v>218000</v>
      </c>
      <c r="G204" s="16" t="n">
        <f aca="false">$M$3+$M$4*B204</f>
        <v>9147.34401351228</v>
      </c>
      <c r="H204" s="17" t="n">
        <f aca="false">D204/G204</f>
        <v>1.00488185274565</v>
      </c>
      <c r="I204" s="18" t="n">
        <f aca="false">INDEX('2 Seasonal Index'!$D$3:$D$54,C204)</f>
        <v>1.01104078083898</v>
      </c>
      <c r="J204" s="16" t="n">
        <f aca="false">D204/I204</f>
        <v>9091.62140064455</v>
      </c>
      <c r="O204" s="14" t="n">
        <f aca="false">B204</f>
        <v>1449</v>
      </c>
      <c r="P204" s="16" t="n">
        <f aca="false">E204</f>
        <v>284989</v>
      </c>
      <c r="Q204" s="16" t="n">
        <f aca="false">F204</f>
        <v>218000</v>
      </c>
    </row>
    <row r="205" customFormat="false" ht="15" hidden="false" customHeight="false" outlineLevel="0" collapsed="false">
      <c r="A205" s="12" t="n">
        <v>43420</v>
      </c>
      <c r="B205" s="13" t="n">
        <v>1450</v>
      </c>
      <c r="C205" s="14" t="n">
        <f aca="false">MIN(52,INT((A205-DATE(YEAR(A205),1,1))/7)+1)</f>
        <v>46</v>
      </c>
      <c r="D205" s="15" t="n">
        <v>9185</v>
      </c>
      <c r="E205" s="15" t="n">
        <v>267434</v>
      </c>
      <c r="F205" s="15" t="n">
        <v>221000</v>
      </c>
      <c r="G205" s="16" t="n">
        <f aca="false">$M$3+$M$4*B205</f>
        <v>9146.17133857396</v>
      </c>
      <c r="H205" s="17" t="n">
        <f aca="false">D205/G205</f>
        <v>1.00424534594736</v>
      </c>
      <c r="I205" s="18" t="n">
        <f aca="false">INDEX('2 Seasonal Index'!$D$3:$D$54,C205)</f>
        <v>0.986356106092814</v>
      </c>
      <c r="J205" s="16" t="n">
        <f aca="false">D205/I205</f>
        <v>9312.05265853113</v>
      </c>
      <c r="O205" s="14" t="n">
        <f aca="false">B205</f>
        <v>1450</v>
      </c>
      <c r="P205" s="16" t="n">
        <f aca="false">E205</f>
        <v>267434</v>
      </c>
      <c r="Q205" s="16" t="n">
        <f aca="false">F205</f>
        <v>221000</v>
      </c>
    </row>
    <row r="206" customFormat="false" ht="15" hidden="false" customHeight="false" outlineLevel="0" collapsed="false">
      <c r="A206" s="12" t="n">
        <v>43427</v>
      </c>
      <c r="B206" s="13" t="n">
        <v>1451</v>
      </c>
      <c r="C206" s="14" t="n">
        <f aca="false">MIN(52,INT((A206-DATE(YEAR(A206),1,1))/7)+1)</f>
        <v>47</v>
      </c>
      <c r="D206" s="15" t="n">
        <v>9188</v>
      </c>
      <c r="E206" s="15" t="n">
        <v>267434</v>
      </c>
      <c r="F206" s="15" t="n">
        <v>225000</v>
      </c>
      <c r="G206" s="16" t="n">
        <f aca="false">$M$3+$M$4*B206</f>
        <v>9144.99866363564</v>
      </c>
      <c r="H206" s="17" t="n">
        <f aca="false">D206/G206</f>
        <v>1.0047021697811</v>
      </c>
      <c r="I206" s="18" t="n">
        <f aca="false">INDEX('2 Seasonal Index'!$D$3:$D$54,C206)</f>
        <v>0.965789408729148</v>
      </c>
      <c r="J206" s="16" t="n">
        <f aca="false">D206/I206</f>
        <v>9513.46113029983</v>
      </c>
      <c r="O206" s="14" t="n">
        <f aca="false">B206</f>
        <v>1451</v>
      </c>
      <c r="P206" s="16" t="n">
        <f aca="false">E206</f>
        <v>267434</v>
      </c>
      <c r="Q206" s="16" t="n">
        <f aca="false">F206</f>
        <v>225000</v>
      </c>
    </row>
    <row r="207" customFormat="false" ht="15" hidden="false" customHeight="false" outlineLevel="0" collapsed="false">
      <c r="A207" s="12" t="n">
        <v>43434</v>
      </c>
      <c r="B207" s="13" t="n">
        <v>1452</v>
      </c>
      <c r="C207" s="14" t="n">
        <f aca="false">MIN(52,INT((A207-DATE(YEAR(A207),1,1))/7)+1)</f>
        <v>48</v>
      </c>
      <c r="D207" s="15" t="n">
        <v>8877</v>
      </c>
      <c r="E207" s="15" t="n">
        <v>267434</v>
      </c>
      <c r="F207" s="15" t="n">
        <v>237000</v>
      </c>
      <c r="G207" s="16" t="n">
        <f aca="false">$M$3+$M$4*B207</f>
        <v>9143.82598869732</v>
      </c>
      <c r="H207" s="17" t="n">
        <f aca="false">D207/G207</f>
        <v>0.970818999724279</v>
      </c>
      <c r="I207" s="18" t="n">
        <f aca="false">INDEX('2 Seasonal Index'!$D$3:$D$54,C207)</f>
        <v>0.974753768618106</v>
      </c>
      <c r="J207" s="16" t="n">
        <f aca="false">D207/I207</f>
        <v>9106.91529060184</v>
      </c>
      <c r="O207" s="14" t="n">
        <f aca="false">B207</f>
        <v>1452</v>
      </c>
      <c r="P207" s="16" t="n">
        <f aca="false">E207</f>
        <v>267434</v>
      </c>
      <c r="Q207" s="16" t="n">
        <f aca="false">F207</f>
        <v>237000</v>
      </c>
    </row>
    <row r="208" customFormat="false" ht="15" hidden="false" customHeight="false" outlineLevel="0" collapsed="false">
      <c r="A208" s="12" t="n">
        <v>43441</v>
      </c>
      <c r="B208" s="13" t="n">
        <v>1453</v>
      </c>
      <c r="C208" s="14" t="n">
        <f aca="false">MIN(52,INT((A208-DATE(YEAR(A208),1,1))/7)+1)</f>
        <v>49</v>
      </c>
      <c r="D208" s="15" t="n">
        <v>9036</v>
      </c>
      <c r="E208" s="15" t="n">
        <v>267434</v>
      </c>
      <c r="F208" s="15" t="n">
        <v>232000</v>
      </c>
      <c r="G208" s="16" t="n">
        <f aca="false">$M$3+$M$4*B208</f>
        <v>9142.653313759</v>
      </c>
      <c r="H208" s="17" t="n">
        <f aca="false">D208/G208</f>
        <v>0.988334533739949</v>
      </c>
      <c r="I208" s="18" t="n">
        <f aca="false">INDEX('2 Seasonal Index'!$D$3:$D$54,C208)</f>
        <v>0.980293720669235</v>
      </c>
      <c r="J208" s="16" t="n">
        <f aca="false">D208/I208</f>
        <v>9217.64549693456</v>
      </c>
      <c r="O208" s="14" t="n">
        <f aca="false">B208</f>
        <v>1453</v>
      </c>
      <c r="P208" s="16" t="n">
        <f aca="false">E208</f>
        <v>267434</v>
      </c>
      <c r="Q208" s="16" t="n">
        <f aca="false">F208</f>
        <v>232000</v>
      </c>
    </row>
    <row r="209" customFormat="false" ht="15" hidden="false" customHeight="false" outlineLevel="0" collapsed="false">
      <c r="A209" s="12" t="n">
        <v>43448</v>
      </c>
      <c r="B209" s="13" t="n">
        <v>1454</v>
      </c>
      <c r="C209" s="14" t="n">
        <f aca="false">MIN(52,INT((A209-DATE(YEAR(A209),1,1))/7)+1)</f>
        <v>50</v>
      </c>
      <c r="D209" s="15" t="n">
        <v>9243</v>
      </c>
      <c r="E209" s="15" t="n">
        <v>267434</v>
      </c>
      <c r="F209" s="15" t="n">
        <v>208000</v>
      </c>
      <c r="G209" s="16" t="n">
        <f aca="false">$M$3+$M$4*B209</f>
        <v>9141.48063882068</v>
      </c>
      <c r="H209" s="17" t="n">
        <f aca="false">D209/G209</f>
        <v>1.01110535209671</v>
      </c>
      <c r="I209" s="18" t="n">
        <f aca="false">INDEX('2 Seasonal Index'!$D$3:$D$54,C209)</f>
        <v>1.00060911532618</v>
      </c>
      <c r="J209" s="16" t="n">
        <f aca="false">D209/I209</f>
        <v>9237.37337430407</v>
      </c>
      <c r="O209" s="14" t="n">
        <f aca="false">B209</f>
        <v>1454</v>
      </c>
      <c r="P209" s="16" t="n">
        <f aca="false">E209</f>
        <v>267434</v>
      </c>
      <c r="Q209" s="16" t="n">
        <f aca="false">F209</f>
        <v>208000</v>
      </c>
    </row>
    <row r="210" customFormat="false" ht="15" hidden="false" customHeight="false" outlineLevel="0" collapsed="false">
      <c r="A210" s="12" t="n">
        <v>43455</v>
      </c>
      <c r="B210" s="13" t="n">
        <v>1455</v>
      </c>
      <c r="C210" s="14" t="n">
        <f aca="false">MIN(52,INT((A210-DATE(YEAR(A210),1,1))/7)+1)</f>
        <v>51</v>
      </c>
      <c r="D210" s="15" t="n">
        <v>9348</v>
      </c>
      <c r="E210" s="15" t="n">
        <v>281382</v>
      </c>
      <c r="F210" s="15" t="n">
        <v>217000</v>
      </c>
      <c r="G210" s="16" t="n">
        <f aca="false">$M$3+$M$4*B210</f>
        <v>9140.30796388236</v>
      </c>
      <c r="H210" s="17" t="n">
        <f aca="false">D210/G210</f>
        <v>1.02272265189951</v>
      </c>
      <c r="I210" s="18" t="n">
        <f aca="false">INDEX('2 Seasonal Index'!$D$3:$D$54,C210)</f>
        <v>1.02197331378228</v>
      </c>
      <c r="J210" s="16" t="n">
        <f aca="false">D210/I210</f>
        <v>9147.00988169983</v>
      </c>
      <c r="O210" s="14" t="n">
        <f aca="false">B210</f>
        <v>1455</v>
      </c>
      <c r="P210" s="16" t="n">
        <f aca="false">E210</f>
        <v>281382</v>
      </c>
      <c r="Q210" s="16" t="n">
        <f aca="false">F210</f>
        <v>217000</v>
      </c>
    </row>
    <row r="211" customFormat="false" ht="15" hidden="false" customHeight="false" outlineLevel="0" collapsed="false">
      <c r="A211" s="12" t="n">
        <v>43462</v>
      </c>
      <c r="B211" s="13" t="n">
        <v>1456</v>
      </c>
      <c r="C211" s="14" t="n">
        <f aca="false">MIN(52,INT((A211-DATE(YEAR(A211),1,1))/7)+1)</f>
        <v>52</v>
      </c>
      <c r="D211" s="15" t="n">
        <v>8623</v>
      </c>
      <c r="E211" s="15" t="n">
        <v>281382</v>
      </c>
      <c r="F211" s="15" t="n">
        <v>228000</v>
      </c>
      <c r="G211" s="16" t="n">
        <f aca="false">$M$3+$M$4*B211</f>
        <v>9139.13528894404</v>
      </c>
      <c r="H211" s="17" t="n">
        <f aca="false">D211/G211</f>
        <v>0.943524712937729</v>
      </c>
      <c r="I211" s="18" t="n">
        <f aca="false">INDEX('2 Seasonal Index'!$D$3:$D$54,C211)</f>
        <v>0.941059701689701</v>
      </c>
      <c r="J211" s="16" t="n">
        <f aca="false">D211/I211</f>
        <v>9163.07433472833</v>
      </c>
      <c r="O211" s="14" t="n">
        <f aca="false">B211</f>
        <v>1456</v>
      </c>
      <c r="P211" s="16" t="n">
        <f aca="false">E211</f>
        <v>281382</v>
      </c>
      <c r="Q211" s="16" t="n">
        <f aca="false">F211</f>
        <v>228000</v>
      </c>
    </row>
    <row r="212" customFormat="false" ht="15" hidden="false" customHeight="false" outlineLevel="0" collapsed="false">
      <c r="A212" s="12" t="n">
        <v>43469</v>
      </c>
      <c r="B212" s="13" t="n">
        <v>1457</v>
      </c>
      <c r="C212" s="14" t="n">
        <f aca="false">MIN(52,INT((A212-DATE(YEAR(A212),1,1))/7)+1)</f>
        <v>1</v>
      </c>
      <c r="D212" s="15" t="n">
        <v>8735</v>
      </c>
      <c r="E212" s="15" t="n">
        <v>281382</v>
      </c>
      <c r="F212" s="15" t="n">
        <v>238000</v>
      </c>
      <c r="G212" s="16" t="n">
        <f aca="false">$M$3+$M$4*B212</f>
        <v>9137.96261400572</v>
      </c>
      <c r="H212" s="17" t="n">
        <f aca="false">D212/G212</f>
        <v>0.955902356900858</v>
      </c>
      <c r="I212" s="18" t="n">
        <f aca="false">INDEX('2 Seasonal Index'!$D$3:$D$54,C212)</f>
        <v>0.914658189121246</v>
      </c>
      <c r="J212" s="16" t="n">
        <f aca="false">D212/I212</f>
        <v>9550.0156275779</v>
      </c>
      <c r="O212" s="14" t="n">
        <f aca="false">B212</f>
        <v>1457</v>
      </c>
      <c r="P212" s="16" t="n">
        <f aca="false">E212</f>
        <v>281382</v>
      </c>
      <c r="Q212" s="16" t="n">
        <f aca="false">F212</f>
        <v>238000</v>
      </c>
    </row>
    <row r="213" customFormat="false" ht="15" hidden="false" customHeight="false" outlineLevel="0" collapsed="false">
      <c r="A213" s="12" t="n">
        <v>43476</v>
      </c>
      <c r="B213" s="13" t="n">
        <v>1458</v>
      </c>
      <c r="C213" s="14" t="n">
        <f aca="false">MIN(52,INT((A213-DATE(YEAR(A213),1,1))/7)+1)</f>
        <v>2</v>
      </c>
      <c r="D213" s="15" t="n">
        <v>8565</v>
      </c>
      <c r="E213" s="15" t="n">
        <v>281382</v>
      </c>
      <c r="F213" s="15" t="n">
        <v>225000</v>
      </c>
      <c r="G213" s="16" t="n">
        <f aca="false">$M$3+$M$4*B213</f>
        <v>9136.78993906741</v>
      </c>
      <c r="H213" s="17" t="n">
        <f aca="false">D213/G213</f>
        <v>0.937418946601527</v>
      </c>
      <c r="I213" s="18" t="n">
        <f aca="false">INDEX('2 Seasonal Index'!$D$3:$D$54,C213)</f>
        <v>0.921123720796805</v>
      </c>
      <c r="J213" s="16" t="n">
        <f aca="false">D213/I213</f>
        <v>9298.42518070317</v>
      </c>
      <c r="O213" s="14" t="n">
        <f aca="false">B213</f>
        <v>1458</v>
      </c>
      <c r="P213" s="16" t="n">
        <f aca="false">E213</f>
        <v>281382</v>
      </c>
      <c r="Q213" s="16" t="n">
        <f aca="false">F213</f>
        <v>225000</v>
      </c>
    </row>
    <row r="214" customFormat="false" ht="15" hidden="false" customHeight="false" outlineLevel="0" collapsed="false">
      <c r="A214" s="12" t="n">
        <v>43483</v>
      </c>
      <c r="B214" s="13" t="n">
        <v>1459</v>
      </c>
      <c r="C214" s="14" t="n">
        <f aca="false">MIN(52,INT((A214-DATE(YEAR(A214),1,1))/7)+1)</f>
        <v>3</v>
      </c>
      <c r="D214" s="15" t="n">
        <v>8868</v>
      </c>
      <c r="E214" s="15" t="n">
        <v>260473</v>
      </c>
      <c r="F214" s="15" t="n">
        <v>218000</v>
      </c>
      <c r="G214" s="16" t="n">
        <f aca="false">$M$3+$M$4*B214</f>
        <v>9135.61726412909</v>
      </c>
      <c r="H214" s="17" t="n">
        <f aca="false">D214/G214</f>
        <v>0.970706165068902</v>
      </c>
      <c r="I214" s="18" t="n">
        <f aca="false">INDEX('2 Seasonal Index'!$D$3:$D$54,C214)</f>
        <v>0.932475709892495</v>
      </c>
      <c r="J214" s="16" t="n">
        <f aca="false">D214/I214</f>
        <v>9510.16729542735</v>
      </c>
      <c r="O214" s="14" t="n">
        <f aca="false">B214</f>
        <v>1459</v>
      </c>
      <c r="P214" s="16" t="n">
        <f aca="false">E214</f>
        <v>260473</v>
      </c>
      <c r="Q214" s="16" t="n">
        <f aca="false">F214</f>
        <v>218000</v>
      </c>
    </row>
    <row r="215" customFormat="false" ht="15" hidden="false" customHeight="false" outlineLevel="0" collapsed="false">
      <c r="A215" s="12" t="n">
        <v>43490</v>
      </c>
      <c r="B215" s="13" t="n">
        <v>1460</v>
      </c>
      <c r="C215" s="14" t="n">
        <f aca="false">MIN(52,INT((A215-DATE(YEAR(A215),1,1))/7)+1)</f>
        <v>4</v>
      </c>
      <c r="D215" s="15" t="n">
        <v>9564</v>
      </c>
      <c r="E215" s="15" t="n">
        <v>260473</v>
      </c>
      <c r="F215" s="15" t="n">
        <v>214000</v>
      </c>
      <c r="G215" s="16" t="n">
        <f aca="false">$M$3+$M$4*B215</f>
        <v>9134.44458919077</v>
      </c>
      <c r="H215" s="17" t="n">
        <f aca="false">D215/G215</f>
        <v>1.04702589266539</v>
      </c>
      <c r="I215" s="18" t="n">
        <f aca="false">INDEX('2 Seasonal Index'!$D$3:$D$54,C215)</f>
        <v>0.95567024426302</v>
      </c>
      <c r="J215" s="16" t="n">
        <f aca="false">D215/I215</f>
        <v>10007.6360621392</v>
      </c>
      <c r="O215" s="14" t="n">
        <f aca="false">B215</f>
        <v>1460</v>
      </c>
      <c r="P215" s="16" t="n">
        <f aca="false">E215</f>
        <v>260473</v>
      </c>
      <c r="Q215" s="16" t="n">
        <f aca="false">F215</f>
        <v>214000</v>
      </c>
    </row>
    <row r="216" customFormat="false" ht="15" hidden="false" customHeight="false" outlineLevel="0" collapsed="false">
      <c r="A216" s="12" t="n">
        <v>43497</v>
      </c>
      <c r="B216" s="13" t="n">
        <v>1461</v>
      </c>
      <c r="C216" s="14" t="n">
        <f aca="false">MIN(52,INT((A216-DATE(YEAR(A216),1,1))/7)+1)</f>
        <v>5</v>
      </c>
      <c r="D216" s="15" t="n">
        <v>9073</v>
      </c>
      <c r="E216" s="15" t="n">
        <v>260473</v>
      </c>
      <c r="F216" s="15" t="n">
        <v>234000</v>
      </c>
      <c r="G216" s="16" t="n">
        <f aca="false">$M$3+$M$4*B216</f>
        <v>9133.27191425245</v>
      </c>
      <c r="H216" s="17" t="n">
        <f aca="false">D216/G216</f>
        <v>0.993400840923351</v>
      </c>
      <c r="I216" s="18" t="n">
        <f aca="false">INDEX('2 Seasonal Index'!$D$3:$D$54,C216)</f>
        <v>0.963785211095498</v>
      </c>
      <c r="J216" s="16" t="n">
        <f aca="false">D216/I216</f>
        <v>9413.92324300875</v>
      </c>
      <c r="O216" s="14" t="n">
        <f aca="false">B216</f>
        <v>1461</v>
      </c>
      <c r="P216" s="16" t="n">
        <f aca="false">E216</f>
        <v>260473</v>
      </c>
      <c r="Q216" s="16" t="n">
        <f aca="false">F216</f>
        <v>234000</v>
      </c>
    </row>
    <row r="217" customFormat="false" ht="15" hidden="false" customHeight="false" outlineLevel="0" collapsed="false">
      <c r="A217" s="12" t="n">
        <v>43504</v>
      </c>
      <c r="B217" s="13" t="n">
        <v>1462</v>
      </c>
      <c r="C217" s="14" t="n">
        <f aca="false">MIN(52,INT((A217-DATE(YEAR(A217),1,1))/7)+1)</f>
        <v>6</v>
      </c>
      <c r="D217" s="15" t="n">
        <v>8648</v>
      </c>
      <c r="E217" s="15" t="n">
        <v>260473</v>
      </c>
      <c r="F217" s="15" t="n">
        <v>232000</v>
      </c>
      <c r="G217" s="16" t="n">
        <f aca="false">$M$3+$M$4*B217</f>
        <v>9132.09923931413</v>
      </c>
      <c r="H217" s="17" t="n">
        <f aca="false">D217/G217</f>
        <v>0.946989270853512</v>
      </c>
      <c r="I217" s="18" t="n">
        <f aca="false">INDEX('2 Seasonal Index'!$D$3:$D$54,C217)</f>
        <v>0.93990301851115</v>
      </c>
      <c r="J217" s="16" t="n">
        <f aca="false">D217/I217</f>
        <v>9200.94927846794</v>
      </c>
      <c r="O217" s="14" t="n">
        <f aca="false">B217</f>
        <v>1462</v>
      </c>
      <c r="P217" s="16" t="n">
        <f aca="false">E217</f>
        <v>260473</v>
      </c>
      <c r="Q217" s="16" t="n">
        <f aca="false">F217</f>
        <v>232000</v>
      </c>
    </row>
    <row r="218" customFormat="false" ht="15" hidden="false" customHeight="false" outlineLevel="0" collapsed="false">
      <c r="A218" s="12" t="n">
        <v>43511</v>
      </c>
      <c r="B218" s="13" t="n">
        <v>1463</v>
      </c>
      <c r="C218" s="14" t="n">
        <f aca="false">MIN(52,INT((A218-DATE(YEAR(A218),1,1))/7)+1)</f>
        <v>7</v>
      </c>
      <c r="D218" s="15" t="n">
        <v>8800</v>
      </c>
      <c r="E218" s="15" t="n">
        <v>270370</v>
      </c>
      <c r="F218" s="15" t="n">
        <v>226000</v>
      </c>
      <c r="G218" s="16" t="n">
        <f aca="false">$M$3+$M$4*B218</f>
        <v>9130.92656437581</v>
      </c>
      <c r="H218" s="17" t="n">
        <f aca="false">D218/G218</f>
        <v>0.963757614077534</v>
      </c>
      <c r="I218" s="18" t="n">
        <f aca="false">INDEX('2 Seasonal Index'!$D$3:$D$54,C218)</f>
        <v>0.963162093989007</v>
      </c>
      <c r="J218" s="16" t="n">
        <f aca="false">D218/I218</f>
        <v>9136.572187506</v>
      </c>
      <c r="O218" s="14" t="n">
        <f aca="false">B218</f>
        <v>1463</v>
      </c>
      <c r="P218" s="16" t="n">
        <f aca="false">E218</f>
        <v>270370</v>
      </c>
      <c r="Q218" s="16" t="n">
        <f aca="false">F218</f>
        <v>226000</v>
      </c>
    </row>
    <row r="219" customFormat="false" ht="15" hidden="false" customHeight="false" outlineLevel="0" collapsed="false">
      <c r="A219" s="12" t="n">
        <v>43518</v>
      </c>
      <c r="B219" s="13" t="n">
        <v>1464</v>
      </c>
      <c r="C219" s="14" t="n">
        <f aca="false">MIN(52,INT((A219-DATE(YEAR(A219),1,1))/7)+1)</f>
        <v>8</v>
      </c>
      <c r="D219" s="15" t="n">
        <v>8981</v>
      </c>
      <c r="E219" s="15" t="n">
        <v>270370</v>
      </c>
      <c r="F219" s="15" t="n">
        <v>211000</v>
      </c>
      <c r="G219" s="16" t="n">
        <f aca="false">$M$3+$M$4*B219</f>
        <v>9129.75388943749</v>
      </c>
      <c r="H219" s="17" t="n">
        <f aca="false">D219/G219</f>
        <v>0.983706692289965</v>
      </c>
      <c r="I219" s="18" t="n">
        <f aca="false">INDEX('2 Seasonal Index'!$D$3:$D$54,C219)</f>
        <v>0.978387056473038</v>
      </c>
      <c r="J219" s="16" t="n">
        <f aca="false">D219/I219</f>
        <v>9179.39371803974</v>
      </c>
      <c r="O219" s="14" t="n">
        <f aca="false">B219</f>
        <v>1464</v>
      </c>
      <c r="P219" s="16" t="n">
        <f aca="false">E219</f>
        <v>270370</v>
      </c>
      <c r="Q219" s="16" t="n">
        <f aca="false">F219</f>
        <v>211000</v>
      </c>
    </row>
    <row r="220" customFormat="false" ht="15" hidden="false" customHeight="false" outlineLevel="0" collapsed="false">
      <c r="A220" s="12" t="n">
        <v>43525</v>
      </c>
      <c r="B220" s="13" t="n">
        <v>1465</v>
      </c>
      <c r="C220" s="14" t="n">
        <f aca="false">MIN(52,INT((A220-DATE(YEAR(A220),1,1))/7)+1)</f>
        <v>9</v>
      </c>
      <c r="D220" s="15" t="n">
        <v>9062</v>
      </c>
      <c r="E220" s="15" t="n">
        <v>270370</v>
      </c>
      <c r="F220" s="15" t="n">
        <v>221000</v>
      </c>
      <c r="G220" s="16" t="n">
        <f aca="false">$M$3+$M$4*B220</f>
        <v>9128.58121449917</v>
      </c>
      <c r="H220" s="17" t="n">
        <f aca="false">D220/G220</f>
        <v>0.992706291050638</v>
      </c>
      <c r="I220" s="18" t="n">
        <f aca="false">INDEX('2 Seasonal Index'!$D$3:$D$54,C220)</f>
        <v>0.986293676275175</v>
      </c>
      <c r="J220" s="16" t="n">
        <f aca="false">D220/I220</f>
        <v>9187.93278105913</v>
      </c>
      <c r="O220" s="14" t="n">
        <f aca="false">B220</f>
        <v>1465</v>
      </c>
      <c r="P220" s="16" t="n">
        <f aca="false">E220</f>
        <v>270370</v>
      </c>
      <c r="Q220" s="16" t="n">
        <f aca="false">F220</f>
        <v>221000</v>
      </c>
    </row>
    <row r="221" customFormat="false" ht="15" hidden="false" customHeight="false" outlineLevel="0" collapsed="false">
      <c r="A221" s="12" t="n">
        <v>43532</v>
      </c>
      <c r="B221" s="13" t="n">
        <v>1466</v>
      </c>
      <c r="C221" s="14" t="n">
        <f aca="false">MIN(52,INT((A221-DATE(YEAR(A221),1,1))/7)+1)</f>
        <v>10</v>
      </c>
      <c r="D221" s="15" t="n">
        <v>9140</v>
      </c>
      <c r="E221" s="15" t="n">
        <v>270370</v>
      </c>
      <c r="F221" s="15" t="n">
        <v>216000</v>
      </c>
      <c r="G221" s="16" t="n">
        <f aca="false">$M$3+$M$4*B221</f>
        <v>9127.40853956085</v>
      </c>
      <c r="H221" s="17" t="n">
        <f aca="false">D221/G221</f>
        <v>1.00137952195134</v>
      </c>
      <c r="I221" s="18" t="n">
        <f aca="false">INDEX('2 Seasonal Index'!$D$3:$D$54,C221)</f>
        <v>0.995274907218877</v>
      </c>
      <c r="J221" s="16" t="n">
        <f aca="false">D221/I221</f>
        <v>9183.3923810459</v>
      </c>
      <c r="O221" s="14" t="n">
        <f aca="false">B221</f>
        <v>1466</v>
      </c>
      <c r="P221" s="16" t="n">
        <f aca="false">E221</f>
        <v>270370</v>
      </c>
      <c r="Q221" s="16" t="n">
        <f aca="false">F221</f>
        <v>216000</v>
      </c>
    </row>
    <row r="222" customFormat="false" ht="15" hidden="false" customHeight="false" outlineLevel="0" collapsed="false">
      <c r="A222" s="12" t="n">
        <v>43539</v>
      </c>
      <c r="B222" s="13" t="n">
        <v>1467</v>
      </c>
      <c r="C222" s="14" t="n">
        <f aca="false">MIN(52,INT((A222-DATE(YEAR(A222),1,1))/7)+1)</f>
        <v>11</v>
      </c>
      <c r="D222" s="15" t="n">
        <v>9409</v>
      </c>
      <c r="E222" s="15" t="n">
        <v>270370</v>
      </c>
      <c r="F222" s="15" t="n">
        <v>218000</v>
      </c>
      <c r="G222" s="16" t="n">
        <f aca="false">$M$3+$M$4*B222</f>
        <v>9126.23586462253</v>
      </c>
      <c r="H222" s="17" t="n">
        <f aca="false">D222/G222</f>
        <v>1.03098365411238</v>
      </c>
      <c r="I222" s="18" t="n">
        <f aca="false">INDEX('2 Seasonal Index'!$D$3:$D$54,C222)</f>
        <v>1.00212775296089</v>
      </c>
      <c r="J222" s="16" t="n">
        <f aca="false">D222/I222</f>
        <v>9389.02247961909</v>
      </c>
      <c r="O222" s="14" t="n">
        <f aca="false">B222</f>
        <v>1467</v>
      </c>
      <c r="P222" s="16" t="n">
        <f aca="false">E222</f>
        <v>270370</v>
      </c>
      <c r="Q222" s="16" t="n">
        <f aca="false">F222</f>
        <v>218000</v>
      </c>
    </row>
    <row r="223" customFormat="false" ht="15" hidden="false" customHeight="false" outlineLevel="0" collapsed="false">
      <c r="A223" s="12" t="n">
        <v>43546</v>
      </c>
      <c r="B223" s="13" t="n">
        <v>1468</v>
      </c>
      <c r="C223" s="14" t="n">
        <f aca="false">MIN(52,INT((A223-DATE(YEAR(A223),1,1))/7)+1)</f>
        <v>12</v>
      </c>
      <c r="D223" s="15" t="n">
        <v>9124</v>
      </c>
      <c r="E223" s="15" t="n">
        <v>248927</v>
      </c>
      <c r="F223" s="15" t="n">
        <v>212000</v>
      </c>
      <c r="G223" s="16" t="n">
        <f aca="false">$M$3+$M$4*B223</f>
        <v>9125.06318968422</v>
      </c>
      <c r="H223" s="17" t="n">
        <f aca="false">D223/G223</f>
        <v>0.999883486868845</v>
      </c>
      <c r="I223" s="18" t="n">
        <f aca="false">INDEX('2 Seasonal Index'!$D$3:$D$54,C223)</f>
        <v>0.99255102448152</v>
      </c>
      <c r="J223" s="16" t="n">
        <f aca="false">D223/I223</f>
        <v>9192.47451763612</v>
      </c>
      <c r="O223" s="14" t="n">
        <f aca="false">B223</f>
        <v>1468</v>
      </c>
      <c r="P223" s="16" t="n">
        <f aca="false">E223</f>
        <v>248927</v>
      </c>
      <c r="Q223" s="16" t="n">
        <f aca="false">F223</f>
        <v>212000</v>
      </c>
    </row>
    <row r="224" customFormat="false" ht="15" hidden="false" customHeight="false" outlineLevel="0" collapsed="false">
      <c r="A224" s="12" t="n">
        <v>43553</v>
      </c>
      <c r="B224" s="13" t="n">
        <v>1469</v>
      </c>
      <c r="C224" s="14" t="n">
        <f aca="false">MIN(52,INT((A224-DATE(YEAR(A224),1,1))/7)+1)</f>
        <v>13</v>
      </c>
      <c r="D224" s="15" t="n">
        <v>9131</v>
      </c>
      <c r="E224" s="15" t="n">
        <v>248927</v>
      </c>
      <c r="F224" s="15" t="n">
        <v>210000</v>
      </c>
      <c r="G224" s="16" t="n">
        <f aca="false">$M$3+$M$4*B224</f>
        <v>9123.8905147459</v>
      </c>
      <c r="H224" s="17" t="n">
        <f aca="false">D224/G224</f>
        <v>1.0007792164146</v>
      </c>
      <c r="I224" s="18" t="n">
        <f aca="false">INDEX('2 Seasonal Index'!$D$3:$D$54,C224)</f>
        <v>1.00671990755393</v>
      </c>
      <c r="J224" s="16" t="n">
        <f aca="false">D224/I224</f>
        <v>9070.05010180631</v>
      </c>
      <c r="O224" s="14" t="n">
        <f aca="false">B224</f>
        <v>1469</v>
      </c>
      <c r="P224" s="16" t="n">
        <f aca="false">E224</f>
        <v>248927</v>
      </c>
      <c r="Q224" s="16" t="n">
        <f aca="false">F224</f>
        <v>210000</v>
      </c>
    </row>
    <row r="225" customFormat="false" ht="15" hidden="false" customHeight="false" outlineLevel="0" collapsed="false">
      <c r="A225" s="12" t="n">
        <v>43560</v>
      </c>
      <c r="B225" s="13" t="n">
        <v>1470</v>
      </c>
      <c r="C225" s="14" t="n">
        <f aca="false">MIN(52,INT((A225-DATE(YEAR(A225),1,1))/7)+1)</f>
        <v>14</v>
      </c>
      <c r="D225" s="15" t="n">
        <v>9806</v>
      </c>
      <c r="E225" s="15" t="n">
        <v>248927</v>
      </c>
      <c r="F225" s="15" t="n">
        <v>203000</v>
      </c>
      <c r="G225" s="16" t="n">
        <f aca="false">$M$3+$M$4*B225</f>
        <v>9122.71783980758</v>
      </c>
      <c r="H225" s="17" t="n">
        <f aca="false">D225/G225</f>
        <v>1.07489896894661</v>
      </c>
      <c r="I225" s="18" t="n">
        <f aca="false">INDEX('2 Seasonal Index'!$D$3:$D$54,C225)</f>
        <v>0.994713065050192</v>
      </c>
      <c r="J225" s="16" t="n">
        <f aca="false">D225/I225</f>
        <v>9858.11923512355</v>
      </c>
      <c r="O225" s="14" t="n">
        <f aca="false">B225</f>
        <v>1470</v>
      </c>
      <c r="P225" s="16" t="n">
        <f aca="false">E225</f>
        <v>248927</v>
      </c>
      <c r="Q225" s="16" t="n">
        <f aca="false">F225</f>
        <v>203000</v>
      </c>
    </row>
    <row r="226" customFormat="false" ht="15" hidden="false" customHeight="false" outlineLevel="0" collapsed="false">
      <c r="A226" s="12" t="n">
        <v>43567</v>
      </c>
      <c r="B226" s="13" t="n">
        <v>1471</v>
      </c>
      <c r="C226" s="14" t="n">
        <f aca="false">MIN(52,INT((A226-DATE(YEAR(A226),1,1))/7)+1)</f>
        <v>15</v>
      </c>
      <c r="D226" s="15" t="n">
        <v>9420</v>
      </c>
      <c r="E226" s="15" t="n">
        <v>248927</v>
      </c>
      <c r="F226" s="15" t="n">
        <v>196000</v>
      </c>
      <c r="G226" s="16" t="n">
        <f aca="false">$M$3+$M$4*B226</f>
        <v>9121.54516486926</v>
      </c>
      <c r="H226" s="17" t="n">
        <f aca="false">D226/G226</f>
        <v>1.03271976729121</v>
      </c>
      <c r="I226" s="18" t="n">
        <f aca="false">INDEX('2 Seasonal Index'!$D$3:$D$54,C226)</f>
        <v>1.00303091571571</v>
      </c>
      <c r="J226" s="16" t="n">
        <f aca="false">D226/I226</f>
        <v>9391.53504882586</v>
      </c>
      <c r="O226" s="14" t="n">
        <f aca="false">B226</f>
        <v>1471</v>
      </c>
      <c r="P226" s="16" t="n">
        <f aca="false">E226</f>
        <v>248927</v>
      </c>
      <c r="Q226" s="16" t="n">
        <f aca="false">F226</f>
        <v>196000</v>
      </c>
    </row>
    <row r="227" customFormat="false" ht="15" hidden="false" customHeight="false" outlineLevel="0" collapsed="false">
      <c r="A227" s="12" t="n">
        <v>43574</v>
      </c>
      <c r="B227" s="13" t="n">
        <v>1472</v>
      </c>
      <c r="C227" s="14" t="n">
        <f aca="false">MIN(52,INT((A227-DATE(YEAR(A227),1,1))/7)+1)</f>
        <v>16</v>
      </c>
      <c r="D227" s="15" t="n">
        <v>9409</v>
      </c>
      <c r="E227" s="15" t="n">
        <v>231791</v>
      </c>
      <c r="F227" s="15" t="n">
        <v>197000</v>
      </c>
      <c r="G227" s="16" t="n">
        <f aca="false">$M$3+$M$4*B227</f>
        <v>9120.37248993094</v>
      </c>
      <c r="H227" s="17" t="n">
        <f aca="false">D227/G227</f>
        <v>1.0316464607545</v>
      </c>
      <c r="I227" s="18" t="n">
        <f aca="false">INDEX('2 Seasonal Index'!$D$3:$D$54,C227)</f>
        <v>1.00209740802543</v>
      </c>
      <c r="J227" s="16" t="n">
        <f aca="false">D227/I227</f>
        <v>9389.30679258005</v>
      </c>
      <c r="O227" s="14" t="n">
        <f aca="false">B227</f>
        <v>1472</v>
      </c>
      <c r="P227" s="16" t="n">
        <f aca="false">E227</f>
        <v>231791</v>
      </c>
      <c r="Q227" s="16" t="n">
        <f aca="false">F227</f>
        <v>197000</v>
      </c>
    </row>
    <row r="228" customFormat="false" ht="15" hidden="false" customHeight="false" outlineLevel="0" collapsed="false">
      <c r="A228" s="12" t="n">
        <v>43581</v>
      </c>
      <c r="B228" s="13" t="n">
        <v>1473</v>
      </c>
      <c r="C228" s="14" t="n">
        <f aca="false">MIN(52,INT((A228-DATE(YEAR(A228),1,1))/7)+1)</f>
        <v>17</v>
      </c>
      <c r="D228" s="15" t="n">
        <v>9228</v>
      </c>
      <c r="E228" s="15" t="n">
        <v>231791</v>
      </c>
      <c r="F228" s="15" t="n">
        <v>222000</v>
      </c>
      <c r="G228" s="16" t="n">
        <f aca="false">$M$3+$M$4*B228</f>
        <v>9119.19981499262</v>
      </c>
      <c r="H228" s="17" t="n">
        <f aca="false">D228/G228</f>
        <v>1.01193089165877</v>
      </c>
      <c r="I228" s="18" t="n">
        <f aca="false">INDEX('2 Seasonal Index'!$D$3:$D$54,C228)</f>
        <v>0.985720009085136</v>
      </c>
      <c r="J228" s="16" t="n">
        <f aca="false">D228/I228</f>
        <v>9361.68477351359</v>
      </c>
      <c r="O228" s="14" t="n">
        <f aca="false">B228</f>
        <v>1473</v>
      </c>
      <c r="P228" s="16" t="n">
        <f aca="false">E228</f>
        <v>231791</v>
      </c>
      <c r="Q228" s="16" t="n">
        <f aca="false">F228</f>
        <v>222000</v>
      </c>
    </row>
    <row r="229" customFormat="false" ht="15" hidden="false" customHeight="false" outlineLevel="0" collapsed="false">
      <c r="A229" s="12" t="n">
        <v>43588</v>
      </c>
      <c r="B229" s="13" t="n">
        <v>1474</v>
      </c>
      <c r="C229" s="14" t="n">
        <f aca="false">MIN(52,INT((A229-DATE(YEAR(A229),1,1))/7)+1)</f>
        <v>18</v>
      </c>
      <c r="D229" s="15" t="n">
        <v>9871</v>
      </c>
      <c r="E229" s="15" t="n">
        <v>231791</v>
      </c>
      <c r="F229" s="15" t="n">
        <v>224000</v>
      </c>
      <c r="G229" s="16" t="n">
        <f aca="false">$M$3+$M$4*B229</f>
        <v>9118.0271400543</v>
      </c>
      <c r="H229" s="17" t="n">
        <f aca="false">D229/G229</f>
        <v>1.08258067763782</v>
      </c>
      <c r="I229" s="18" t="n">
        <f aca="false">INDEX('2 Seasonal Index'!$D$3:$D$54,C229)</f>
        <v>1.01814015000929</v>
      </c>
      <c r="J229" s="16" t="n">
        <f aca="false">D229/I229</f>
        <v>9695.12890726281</v>
      </c>
      <c r="O229" s="14" t="n">
        <f aca="false">B229</f>
        <v>1474</v>
      </c>
      <c r="P229" s="16" t="n">
        <f aca="false">E229</f>
        <v>231791</v>
      </c>
      <c r="Q229" s="16" t="n">
        <f aca="false">F229</f>
        <v>224000</v>
      </c>
    </row>
    <row r="230" customFormat="false" ht="15" hidden="false" customHeight="false" outlineLevel="0" collapsed="false">
      <c r="A230" s="12" t="n">
        <v>43595</v>
      </c>
      <c r="B230" s="13" t="n">
        <v>1475</v>
      </c>
      <c r="C230" s="14" t="n">
        <f aca="false">MIN(52,INT((A230-DATE(YEAR(A230),1,1))/7)+1)</f>
        <v>19</v>
      </c>
      <c r="D230" s="15" t="n">
        <v>9148</v>
      </c>
      <c r="E230" s="15" t="n">
        <v>231791</v>
      </c>
      <c r="F230" s="15" t="n">
        <v>225000</v>
      </c>
      <c r="G230" s="16" t="n">
        <f aca="false">$M$3+$M$4*B230</f>
        <v>9116.85446511598</v>
      </c>
      <c r="H230" s="17" t="n">
        <f aca="false">D230/G230</f>
        <v>1.00341625886463</v>
      </c>
      <c r="I230" s="18" t="n">
        <f aca="false">INDEX('2 Seasonal Index'!$D$3:$D$54,C230)</f>
        <v>1.01337123918897</v>
      </c>
      <c r="J230" s="16" t="n">
        <f aca="false">D230/I230</f>
        <v>9027.29389411272</v>
      </c>
      <c r="O230" s="14" t="n">
        <f aca="false">B230</f>
        <v>1475</v>
      </c>
      <c r="P230" s="16" t="n">
        <f aca="false">E230</f>
        <v>231791</v>
      </c>
      <c r="Q230" s="16" t="n">
        <f aca="false">F230</f>
        <v>225000</v>
      </c>
    </row>
    <row r="231" customFormat="false" ht="15" hidden="false" customHeight="false" outlineLevel="0" collapsed="false">
      <c r="A231" s="12" t="n">
        <v>43602</v>
      </c>
      <c r="B231" s="13" t="n">
        <v>1476</v>
      </c>
      <c r="C231" s="14" t="n">
        <f aca="false">MIN(52,INT((A231-DATE(YEAR(A231),1,1))/7)+1)</f>
        <v>20</v>
      </c>
      <c r="D231" s="15" t="n">
        <v>9429</v>
      </c>
      <c r="E231" s="15" t="n">
        <v>272379</v>
      </c>
      <c r="F231" s="15" t="n">
        <v>212000</v>
      </c>
      <c r="G231" s="16" t="n">
        <f aca="false">$M$3+$M$4*B231</f>
        <v>9115.68179017766</v>
      </c>
      <c r="H231" s="17" t="n">
        <f aca="false">D231/G231</f>
        <v>1.03437134128135</v>
      </c>
      <c r="I231" s="18" t="n">
        <f aca="false">INDEX('2 Seasonal Index'!$D$3:$D$54,C231)</f>
        <v>1.03551191118317</v>
      </c>
      <c r="J231" s="16" t="n">
        <f aca="false">D231/I231</f>
        <v>9105.64127574979</v>
      </c>
      <c r="O231" s="14" t="n">
        <f aca="false">B231</f>
        <v>1476</v>
      </c>
      <c r="P231" s="16" t="n">
        <f aca="false">E231</f>
        <v>272379</v>
      </c>
      <c r="Q231" s="16" t="n">
        <f aca="false">F231</f>
        <v>212000</v>
      </c>
    </row>
    <row r="232" customFormat="false" ht="15" hidden="false" customHeight="false" outlineLevel="0" collapsed="false">
      <c r="A232" s="12" t="n">
        <v>43609</v>
      </c>
      <c r="B232" s="13" t="n">
        <v>1477</v>
      </c>
      <c r="C232" s="14" t="n">
        <f aca="false">MIN(52,INT((A232-DATE(YEAR(A232),1,1))/7)+1)</f>
        <v>21</v>
      </c>
      <c r="D232" s="15" t="n">
        <v>9394</v>
      </c>
      <c r="E232" s="15" t="n">
        <v>272379</v>
      </c>
      <c r="F232" s="15" t="n">
        <v>215000</v>
      </c>
      <c r="G232" s="16" t="n">
        <f aca="false">$M$3+$M$4*B232</f>
        <v>9114.50911523934</v>
      </c>
      <c r="H232" s="17" t="n">
        <f aca="false">D232/G232</f>
        <v>1.03066439247873</v>
      </c>
      <c r="I232" s="18" t="n">
        <f aca="false">INDEX('2 Seasonal Index'!$D$3:$D$54,C232)</f>
        <v>1.0352245807811</v>
      </c>
      <c r="J232" s="16" t="n">
        <f aca="false">D232/I232</f>
        <v>9074.35949107006</v>
      </c>
      <c r="O232" s="14" t="n">
        <f aca="false">B232</f>
        <v>1477</v>
      </c>
      <c r="P232" s="16" t="n">
        <f aca="false">E232</f>
        <v>272379</v>
      </c>
      <c r="Q232" s="16" t="n">
        <f aca="false">F232</f>
        <v>215000</v>
      </c>
    </row>
    <row r="233" customFormat="false" ht="15" hidden="false" customHeight="false" outlineLevel="0" collapsed="false">
      <c r="A233" s="12" t="n">
        <v>43616</v>
      </c>
      <c r="B233" s="13" t="n">
        <v>1478</v>
      </c>
      <c r="C233" s="14" t="n">
        <f aca="false">MIN(52,INT((A233-DATE(YEAR(A233),1,1))/7)+1)</f>
        <v>22</v>
      </c>
      <c r="D233" s="15" t="n">
        <v>9441</v>
      </c>
      <c r="E233" s="15" t="n">
        <v>272379</v>
      </c>
      <c r="F233" s="15" t="n">
        <v>222000</v>
      </c>
      <c r="G233" s="16" t="n">
        <f aca="false">$M$3+$M$4*B233</f>
        <v>9113.33644030103</v>
      </c>
      <c r="H233" s="17" t="n">
        <f aca="false">D233/G233</f>
        <v>1.03595429202525</v>
      </c>
      <c r="I233" s="18" t="n">
        <f aca="false">INDEX('2 Seasonal Index'!$D$3:$D$54,C233)</f>
        <v>1.01397917017061</v>
      </c>
      <c r="J233" s="16" t="n">
        <f aca="false">D233/I233</f>
        <v>9310.84215310997</v>
      </c>
      <c r="O233" s="14" t="n">
        <f aca="false">B233</f>
        <v>1478</v>
      </c>
      <c r="P233" s="16" t="n">
        <f aca="false">E233</f>
        <v>272379</v>
      </c>
      <c r="Q233" s="16" t="n">
        <f aca="false">F233</f>
        <v>222000</v>
      </c>
    </row>
    <row r="234" customFormat="false" ht="15" hidden="false" customHeight="false" outlineLevel="0" collapsed="false">
      <c r="A234" s="12" t="n">
        <v>43623</v>
      </c>
      <c r="B234" s="13" t="n">
        <v>1479</v>
      </c>
      <c r="C234" s="14" t="n">
        <f aca="false">MIN(52,INT((A234-DATE(YEAR(A234),1,1))/7)+1)</f>
        <v>23</v>
      </c>
      <c r="D234" s="15" t="n">
        <v>9877</v>
      </c>
      <c r="E234" s="15" t="n">
        <v>272379</v>
      </c>
      <c r="F234" s="15" t="n">
        <v>223000</v>
      </c>
      <c r="G234" s="16" t="n">
        <f aca="false">$M$3+$M$4*B234</f>
        <v>9112.16376536271</v>
      </c>
      <c r="H234" s="17" t="n">
        <f aca="false">D234/G234</f>
        <v>1.08393574285227</v>
      </c>
      <c r="I234" s="18" t="n">
        <f aca="false">INDEX('2 Seasonal Index'!$D$3:$D$54,C234)</f>
        <v>1.03755973679196</v>
      </c>
      <c r="J234" s="16" t="n">
        <f aca="false">D234/I234</f>
        <v>9519.45189251348</v>
      </c>
      <c r="O234" s="14" t="n">
        <f aca="false">B234</f>
        <v>1479</v>
      </c>
      <c r="P234" s="16" t="n">
        <f aca="false">E234</f>
        <v>272379</v>
      </c>
      <c r="Q234" s="16" t="n">
        <f aca="false">F234</f>
        <v>223000</v>
      </c>
    </row>
    <row r="235" customFormat="false" ht="15" hidden="false" customHeight="false" outlineLevel="0" collapsed="false">
      <c r="A235" s="12" t="n">
        <v>43630</v>
      </c>
      <c r="B235" s="13" t="n">
        <v>1480</v>
      </c>
      <c r="C235" s="14" t="n">
        <f aca="false">MIN(52,INT((A235-DATE(YEAR(A235),1,1))/7)+1)</f>
        <v>24</v>
      </c>
      <c r="D235" s="15" t="n">
        <v>9928</v>
      </c>
      <c r="E235" s="15" t="n">
        <v>272379</v>
      </c>
      <c r="F235" s="15" t="n">
        <v>226000</v>
      </c>
      <c r="G235" s="16" t="n">
        <f aca="false">$M$3+$M$4*B235</f>
        <v>9110.99109042439</v>
      </c>
      <c r="H235" s="17" t="n">
        <f aca="false">D235/G235</f>
        <v>1.08967289084876</v>
      </c>
      <c r="I235" s="18" t="n">
        <f aca="false">INDEX('2 Seasonal Index'!$D$3:$D$54,C235)</f>
        <v>1.03445132468082</v>
      </c>
      <c r="J235" s="16" t="n">
        <f aca="false">D235/I235</f>
        <v>9597.35829335739</v>
      </c>
      <c r="O235" s="14" t="n">
        <f aca="false">B235</f>
        <v>1480</v>
      </c>
      <c r="P235" s="16" t="n">
        <f aca="false">E235</f>
        <v>272379</v>
      </c>
      <c r="Q235" s="16" t="n">
        <f aca="false">F235</f>
        <v>226000</v>
      </c>
    </row>
    <row r="236" customFormat="false" ht="15" hidden="false" customHeight="false" outlineLevel="0" collapsed="false">
      <c r="A236" s="12" t="n">
        <v>43637</v>
      </c>
      <c r="B236" s="13" t="n">
        <v>1481</v>
      </c>
      <c r="C236" s="14" t="n">
        <f aca="false">MIN(52,INT((A236-DATE(YEAR(A236),1,1))/7)+1)</f>
        <v>25</v>
      </c>
      <c r="D236" s="15" t="n">
        <v>9466</v>
      </c>
      <c r="E236" s="15" t="n">
        <v>273413</v>
      </c>
      <c r="F236" s="15" t="n">
        <v>217000</v>
      </c>
      <c r="G236" s="16" t="n">
        <f aca="false">$M$3+$M$4*B236</f>
        <v>9109.81841548607</v>
      </c>
      <c r="H236" s="17" t="n">
        <f aca="false">D236/G236</f>
        <v>1.03909864810351</v>
      </c>
      <c r="I236" s="18" t="n">
        <f aca="false">INDEX('2 Seasonal Index'!$D$3:$D$54,C236)</f>
        <v>1.03606069309931</v>
      </c>
      <c r="J236" s="16" t="n">
        <f aca="false">D236/I236</f>
        <v>9136.5303819056</v>
      </c>
      <c r="O236" s="14" t="n">
        <f aca="false">B236</f>
        <v>1481</v>
      </c>
      <c r="P236" s="16" t="n">
        <f aca="false">E236</f>
        <v>273413</v>
      </c>
      <c r="Q236" s="16" t="n">
        <f aca="false">F236</f>
        <v>217000</v>
      </c>
    </row>
    <row r="237" customFormat="false" ht="15" hidden="false" customHeight="false" outlineLevel="0" collapsed="false">
      <c r="A237" s="12" t="n">
        <v>43644</v>
      </c>
      <c r="B237" s="13" t="n">
        <v>1482</v>
      </c>
      <c r="C237" s="14" t="n">
        <f aca="false">MIN(52,INT((A237-DATE(YEAR(A237),1,1))/7)+1)</f>
        <v>26</v>
      </c>
      <c r="D237" s="15" t="n">
        <v>9492</v>
      </c>
      <c r="E237" s="15" t="n">
        <v>273413</v>
      </c>
      <c r="F237" s="15" t="n">
        <v>234000</v>
      </c>
      <c r="G237" s="16" t="n">
        <f aca="false">$M$3+$M$4*B237</f>
        <v>9108.64574054775</v>
      </c>
      <c r="H237" s="17" t="n">
        <f aca="false">D237/G237</f>
        <v>1.0420868557601</v>
      </c>
      <c r="I237" s="18" t="n">
        <f aca="false">INDEX('2 Seasonal Index'!$D$3:$D$54,C237)</f>
        <v>1.05775104170879</v>
      </c>
      <c r="J237" s="16" t="n">
        <f aca="false">D237/I237</f>
        <v>8973.75622969438</v>
      </c>
      <c r="O237" s="14" t="n">
        <f aca="false">B237</f>
        <v>1482</v>
      </c>
      <c r="P237" s="16" t="n">
        <f aca="false">E237</f>
        <v>273413</v>
      </c>
      <c r="Q237" s="16" t="n">
        <f aca="false">F237</f>
        <v>234000</v>
      </c>
    </row>
    <row r="238" customFormat="false" ht="15" hidden="false" customHeight="false" outlineLevel="0" collapsed="false">
      <c r="A238" s="12" t="n">
        <v>43651</v>
      </c>
      <c r="B238" s="13" t="n">
        <v>1483</v>
      </c>
      <c r="C238" s="14" t="n">
        <f aca="false">MIN(52,INT((A238-DATE(YEAR(A238),1,1))/7)+1)</f>
        <v>27</v>
      </c>
      <c r="D238" s="15" t="n">
        <v>9754</v>
      </c>
      <c r="E238" s="15" t="n">
        <v>273413</v>
      </c>
      <c r="F238" s="15" t="n">
        <v>226000</v>
      </c>
      <c r="G238" s="16" t="n">
        <f aca="false">$M$3+$M$4*B238</f>
        <v>9107.47306560943</v>
      </c>
      <c r="H238" s="17" t="n">
        <f aca="false">D238/G238</f>
        <v>1.07098861887738</v>
      </c>
      <c r="I238" s="18" t="n">
        <f aca="false">INDEX('2 Seasonal Index'!$D$3:$D$54,C238)</f>
        <v>1.02126188503389</v>
      </c>
      <c r="J238" s="16" t="n">
        <f aca="false">D238/I238</f>
        <v>9550.92924052125</v>
      </c>
      <c r="O238" s="14" t="n">
        <f aca="false">B238</f>
        <v>1483</v>
      </c>
      <c r="P238" s="16" t="n">
        <f aca="false">E238</f>
        <v>273413</v>
      </c>
      <c r="Q238" s="16" t="n">
        <f aca="false">F238</f>
        <v>226000</v>
      </c>
    </row>
    <row r="239" customFormat="false" ht="15" hidden="false" customHeight="false" outlineLevel="0" collapsed="false">
      <c r="A239" s="12" t="n">
        <v>43658</v>
      </c>
      <c r="B239" s="13" t="n">
        <v>1484</v>
      </c>
      <c r="C239" s="14" t="n">
        <f aca="false">MIN(52,INT((A239-DATE(YEAR(A239),1,1))/7)+1)</f>
        <v>28</v>
      </c>
      <c r="D239" s="15" t="n">
        <v>9214</v>
      </c>
      <c r="E239" s="15" t="n">
        <v>273413</v>
      </c>
      <c r="F239" s="15" t="n">
        <v>215000</v>
      </c>
      <c r="G239" s="16" t="n">
        <f aca="false">$M$3+$M$4*B239</f>
        <v>9106.30039067111</v>
      </c>
      <c r="H239" s="17" t="n">
        <f aca="false">D239/G239</f>
        <v>1.01182693351948</v>
      </c>
      <c r="I239" s="18" t="n">
        <f aca="false">INDEX('2 Seasonal Index'!$D$3:$D$54,C239)</f>
        <v>1.01350902481598</v>
      </c>
      <c r="J239" s="16" t="n">
        <f aca="false">D239/I239</f>
        <v>9091.18693015384</v>
      </c>
      <c r="O239" s="14" t="n">
        <f aca="false">B239</f>
        <v>1484</v>
      </c>
      <c r="P239" s="16" t="n">
        <f aca="false">E239</f>
        <v>273413</v>
      </c>
      <c r="Q239" s="16" t="n">
        <f aca="false">F239</f>
        <v>215000</v>
      </c>
    </row>
    <row r="240" customFormat="false" ht="15" hidden="false" customHeight="false" outlineLevel="0" collapsed="false">
      <c r="A240" s="12" t="n">
        <v>43665</v>
      </c>
      <c r="B240" s="13" t="n">
        <v>1485</v>
      </c>
      <c r="C240" s="14" t="n">
        <f aca="false">MIN(52,INT((A240-DATE(YEAR(A240),1,1))/7)+1)</f>
        <v>29</v>
      </c>
      <c r="D240" s="15" t="n">
        <v>9673</v>
      </c>
      <c r="E240" s="15" t="n">
        <v>289711</v>
      </c>
      <c r="F240" s="15" t="n">
        <v>211000</v>
      </c>
      <c r="G240" s="16" t="n">
        <f aca="false">$M$3+$M$4*B240</f>
        <v>9105.12771573279</v>
      </c>
      <c r="H240" s="17" t="n">
        <f aca="false">D240/G240</f>
        <v>1.06236840404621</v>
      </c>
      <c r="I240" s="18" t="n">
        <f aca="false">INDEX('2 Seasonal Index'!$D$3:$D$54,C240)</f>
        <v>1.05195667886475</v>
      </c>
      <c r="J240" s="16" t="n">
        <f aca="false">D240/I240</f>
        <v>9195.2455784005</v>
      </c>
      <c r="O240" s="14" t="n">
        <f aca="false">B240</f>
        <v>1485</v>
      </c>
      <c r="P240" s="16" t="n">
        <f aca="false">E240</f>
        <v>289711</v>
      </c>
      <c r="Q240" s="16" t="n">
        <f aca="false">F240</f>
        <v>211000</v>
      </c>
    </row>
    <row r="241" customFormat="false" ht="15" hidden="false" customHeight="false" outlineLevel="0" collapsed="false">
      <c r="A241" s="12" t="n">
        <v>43672</v>
      </c>
      <c r="B241" s="13" t="n">
        <v>1486</v>
      </c>
      <c r="C241" s="14" t="n">
        <f aca="false">MIN(52,INT((A241-DATE(YEAR(A241),1,1))/7)+1)</f>
        <v>30</v>
      </c>
      <c r="D241" s="15" t="n">
        <v>9559</v>
      </c>
      <c r="E241" s="15" t="n">
        <v>289711</v>
      </c>
      <c r="F241" s="15" t="n">
        <v>202000</v>
      </c>
      <c r="G241" s="16" t="n">
        <f aca="false">$M$3+$M$4*B241</f>
        <v>9103.95504079447</v>
      </c>
      <c r="H241" s="17" t="n">
        <f aca="false">D241/G241</f>
        <v>1.04998321687294</v>
      </c>
      <c r="I241" s="18" t="n">
        <f aca="false">INDEX('2 Seasonal Index'!$D$3:$D$54,C241)</f>
        <v>1.03171304153628</v>
      </c>
      <c r="J241" s="16" t="n">
        <f aca="false">D241/I241</f>
        <v>9265.17317816019</v>
      </c>
      <c r="O241" s="14" t="n">
        <f aca="false">B241</f>
        <v>1486</v>
      </c>
      <c r="P241" s="16" t="n">
        <f aca="false">E241</f>
        <v>289711</v>
      </c>
      <c r="Q241" s="16" t="n">
        <f aca="false">F241</f>
        <v>202000</v>
      </c>
    </row>
    <row r="242" customFormat="false" ht="15" hidden="false" customHeight="false" outlineLevel="0" collapsed="false">
      <c r="A242" s="12" t="n">
        <v>43679</v>
      </c>
      <c r="B242" s="13" t="n">
        <v>1487</v>
      </c>
      <c r="C242" s="14" t="n">
        <f aca="false">MIN(52,INT((A242-DATE(YEAR(A242),1,1))/7)+1)</f>
        <v>31</v>
      </c>
      <c r="D242" s="15" t="n">
        <v>9651</v>
      </c>
      <c r="E242" s="15" t="n">
        <v>289711</v>
      </c>
      <c r="F242" s="15" t="n">
        <v>206000</v>
      </c>
      <c r="G242" s="16" t="n">
        <f aca="false">$M$3+$M$4*B242</f>
        <v>9102.78236585615</v>
      </c>
      <c r="H242" s="17" t="n">
        <f aca="false">D242/G242</f>
        <v>1.06022528190943</v>
      </c>
      <c r="I242" s="18" t="n">
        <f aca="false">INDEX('2 Seasonal Index'!$D$3:$D$54,C242)</f>
        <v>1.03997322006122</v>
      </c>
      <c r="J242" s="16" t="n">
        <f aca="false">D242/I242</f>
        <v>9280.04665296274</v>
      </c>
      <c r="O242" s="14" t="n">
        <f aca="false">B242</f>
        <v>1487</v>
      </c>
      <c r="P242" s="16" t="n">
        <f aca="false">E242</f>
        <v>289711</v>
      </c>
      <c r="Q242" s="16" t="n">
        <f aca="false">F242</f>
        <v>206000</v>
      </c>
    </row>
    <row r="243" customFormat="false" ht="15" hidden="false" customHeight="false" outlineLevel="0" collapsed="false">
      <c r="A243" s="12" t="n">
        <v>43686</v>
      </c>
      <c r="B243" s="13" t="n">
        <v>1488</v>
      </c>
      <c r="C243" s="14" t="n">
        <f aca="false">MIN(52,INT((A243-DATE(YEAR(A243),1,1))/7)+1)</f>
        <v>32</v>
      </c>
      <c r="D243" s="15" t="n">
        <v>9932</v>
      </c>
      <c r="E243" s="15" t="n">
        <v>289711</v>
      </c>
      <c r="F243" s="15" t="n">
        <v>208000</v>
      </c>
      <c r="G243" s="16" t="n">
        <f aca="false">$M$3+$M$4*B243</f>
        <v>9101.60969091783</v>
      </c>
      <c r="H243" s="17" t="n">
        <f aca="false">D243/G243</f>
        <v>1.09123554374242</v>
      </c>
      <c r="I243" s="18" t="n">
        <f aca="false">INDEX('2 Seasonal Index'!$D$3:$D$54,C243)</f>
        <v>1.04061693174176</v>
      </c>
      <c r="J243" s="16" t="n">
        <f aca="false">D243/I243</f>
        <v>9544.33826420264</v>
      </c>
      <c r="O243" s="14" t="n">
        <f aca="false">B243</f>
        <v>1488</v>
      </c>
      <c r="P243" s="16" t="n">
        <f aca="false">E243</f>
        <v>289711</v>
      </c>
      <c r="Q243" s="16" t="n">
        <f aca="false">F243</f>
        <v>208000</v>
      </c>
    </row>
    <row r="244" customFormat="false" ht="15" hidden="false" customHeight="false" outlineLevel="0" collapsed="false">
      <c r="A244" s="12" t="n">
        <v>43693</v>
      </c>
      <c r="B244" s="13" t="n">
        <v>1489</v>
      </c>
      <c r="C244" s="14" t="n">
        <f aca="false">MIN(52,INT((A244-DATE(YEAR(A244),1,1))/7)+1)</f>
        <v>33</v>
      </c>
      <c r="D244" s="15" t="n">
        <v>9626</v>
      </c>
      <c r="E244" s="15" t="n">
        <v>281359</v>
      </c>
      <c r="F244" s="15" t="n">
        <v>212000</v>
      </c>
      <c r="G244" s="16" t="n">
        <f aca="false">$M$3+$M$4*B244</f>
        <v>9100.43701597952</v>
      </c>
      <c r="H244" s="17" t="n">
        <f aca="false">D244/G244</f>
        <v>1.05775140063028</v>
      </c>
      <c r="I244" s="18" t="n">
        <f aca="false">INDEX('2 Seasonal Index'!$D$3:$D$54,C244)</f>
        <v>1.02747806583438</v>
      </c>
      <c r="J244" s="16" t="n">
        <f aca="false">D244/I244</f>
        <v>9368.56982166628</v>
      </c>
      <c r="O244" s="14" t="n">
        <f aca="false">B244</f>
        <v>1489</v>
      </c>
      <c r="P244" s="16" t="n">
        <f aca="false">E244</f>
        <v>281359</v>
      </c>
      <c r="Q244" s="16" t="n">
        <f aca="false">F244</f>
        <v>212000</v>
      </c>
    </row>
    <row r="245" customFormat="false" ht="15" hidden="false" customHeight="false" outlineLevel="0" collapsed="false">
      <c r="A245" s="12" t="n">
        <v>43700</v>
      </c>
      <c r="B245" s="13" t="n">
        <v>1490</v>
      </c>
      <c r="C245" s="14" t="n">
        <f aca="false">MIN(52,INT((A245-DATE(YEAR(A245),1,1))/7)+1)</f>
        <v>34</v>
      </c>
      <c r="D245" s="15" t="n">
        <v>9900</v>
      </c>
      <c r="E245" s="15" t="n">
        <v>281359</v>
      </c>
      <c r="F245" s="15" t="n">
        <v>207000</v>
      </c>
      <c r="G245" s="16" t="n">
        <f aca="false">$M$3+$M$4*B245</f>
        <v>9099.2643410412</v>
      </c>
      <c r="H245" s="17" t="n">
        <f aca="false">D245/G245</f>
        <v>1.0880000436241</v>
      </c>
      <c r="I245" s="18" t="n">
        <f aca="false">INDEX('2 Seasonal Index'!$D$3:$D$54,C245)</f>
        <v>1.03816398467415</v>
      </c>
      <c r="J245" s="16" t="n">
        <f aca="false">D245/I245</f>
        <v>9536.06573349524</v>
      </c>
      <c r="O245" s="14" t="n">
        <f aca="false">B245</f>
        <v>1490</v>
      </c>
      <c r="P245" s="16" t="n">
        <f aca="false">E245</f>
        <v>281359</v>
      </c>
      <c r="Q245" s="16" t="n">
        <f aca="false">F245</f>
        <v>207000</v>
      </c>
    </row>
    <row r="246" customFormat="false" ht="15" hidden="false" customHeight="false" outlineLevel="0" collapsed="false">
      <c r="A246" s="12" t="n">
        <v>43707</v>
      </c>
      <c r="B246" s="13" t="n">
        <v>1491</v>
      </c>
      <c r="C246" s="14" t="n">
        <f aca="false">MIN(52,INT((A246-DATE(YEAR(A246),1,1))/7)+1)</f>
        <v>35</v>
      </c>
      <c r="D246" s="15" t="n">
        <v>9471</v>
      </c>
      <c r="E246" s="15" t="n">
        <v>281359</v>
      </c>
      <c r="F246" s="15" t="n">
        <v>213000</v>
      </c>
      <c r="G246" s="16" t="n">
        <f aca="false">$M$3+$M$4*B246</f>
        <v>9098.09166610288</v>
      </c>
      <c r="H246" s="17" t="n">
        <f aca="false">D246/G246</f>
        <v>1.0409875331644</v>
      </c>
      <c r="I246" s="18" t="n">
        <f aca="false">INDEX('2 Seasonal Index'!$D$3:$D$54,C246)</f>
        <v>1.02246595866814</v>
      </c>
      <c r="J246" s="16" t="n">
        <f aca="false">D246/I246</f>
        <v>9262.9000698829</v>
      </c>
      <c r="O246" s="14" t="n">
        <f aca="false">B246</f>
        <v>1491</v>
      </c>
      <c r="P246" s="16" t="n">
        <f aca="false">E246</f>
        <v>281359</v>
      </c>
      <c r="Q246" s="16" t="n">
        <f aca="false">F246</f>
        <v>213000</v>
      </c>
    </row>
    <row r="247" customFormat="false" ht="15" hidden="false" customHeight="false" outlineLevel="0" collapsed="false">
      <c r="A247" s="12" t="n">
        <v>43714</v>
      </c>
      <c r="B247" s="13" t="n">
        <v>1492</v>
      </c>
      <c r="C247" s="14" t="n">
        <f aca="false">MIN(52,INT((A247-DATE(YEAR(A247),1,1))/7)+1)</f>
        <v>36</v>
      </c>
      <c r="D247" s="15" t="n">
        <v>9807</v>
      </c>
      <c r="E247" s="15" t="n">
        <v>281359</v>
      </c>
      <c r="F247" s="15" t="n">
        <v>215000</v>
      </c>
      <c r="G247" s="16" t="n">
        <f aca="false">$M$3+$M$4*B247</f>
        <v>9096.91899116456</v>
      </c>
      <c r="H247" s="17" t="n">
        <f aca="false">D247/G247</f>
        <v>1.07805730814192</v>
      </c>
      <c r="I247" s="18" t="n">
        <f aca="false">INDEX('2 Seasonal Index'!$D$3:$D$54,C247)</f>
        <v>1.00361083828068</v>
      </c>
      <c r="J247" s="16" t="n">
        <f aca="false">D247/I247</f>
        <v>9771.71591410945</v>
      </c>
      <c r="O247" s="14" t="n">
        <f aca="false">B247</f>
        <v>1492</v>
      </c>
      <c r="P247" s="16" t="n">
        <f aca="false">E247</f>
        <v>281359</v>
      </c>
      <c r="Q247" s="16" t="n">
        <f aca="false">F247</f>
        <v>215000</v>
      </c>
    </row>
    <row r="248" customFormat="false" ht="15" hidden="false" customHeight="false" outlineLevel="0" collapsed="false">
      <c r="A248" s="12" t="n">
        <v>43721</v>
      </c>
      <c r="B248" s="13" t="n">
        <v>1493</v>
      </c>
      <c r="C248" s="14" t="n">
        <f aca="false">MIN(52,INT((A248-DATE(YEAR(A248),1,1))/7)+1)</f>
        <v>37</v>
      </c>
      <c r="D248" s="15" t="n">
        <v>8939</v>
      </c>
      <c r="E248" s="15" t="n">
        <v>281359</v>
      </c>
      <c r="F248" s="15" t="n">
        <v>207000</v>
      </c>
      <c r="G248" s="16" t="n">
        <f aca="false">$M$3+$M$4*B248</f>
        <v>9095.74631622624</v>
      </c>
      <c r="H248" s="17" t="n">
        <f aca="false">D248/G248</f>
        <v>0.98276707476476</v>
      </c>
      <c r="I248" s="18" t="n">
        <f aca="false">INDEX('2 Seasonal Index'!$D$3:$D$54,C248)</f>
        <v>0.988109440121203</v>
      </c>
      <c r="J248" s="16" t="n">
        <f aca="false">D248/I248</f>
        <v>9046.56876762915</v>
      </c>
      <c r="O248" s="14" t="n">
        <f aca="false">B248</f>
        <v>1493</v>
      </c>
      <c r="P248" s="16" t="n">
        <f aca="false">E248</f>
        <v>281359</v>
      </c>
      <c r="Q248" s="16" t="n">
        <f aca="false">F248</f>
        <v>207000</v>
      </c>
    </row>
    <row r="249" customFormat="false" ht="15" hidden="false" customHeight="false" outlineLevel="0" collapsed="false">
      <c r="A249" s="12" t="n">
        <v>43728</v>
      </c>
      <c r="B249" s="13" t="n">
        <v>1494</v>
      </c>
      <c r="C249" s="14" t="n">
        <f aca="false">MIN(52,INT((A249-DATE(YEAR(A249),1,1))/7)+1)</f>
        <v>38</v>
      </c>
      <c r="D249" s="15" t="n">
        <v>9346</v>
      </c>
      <c r="E249" s="15" t="n">
        <v>291520</v>
      </c>
      <c r="F249" s="15" t="n">
        <v>205000</v>
      </c>
      <c r="G249" s="16" t="n">
        <f aca="false">$M$3+$M$4*B249</f>
        <v>9094.57364128792</v>
      </c>
      <c r="H249" s="17" t="n">
        <f aca="false">D249/G249</f>
        <v>1.02764575543934</v>
      </c>
      <c r="I249" s="18" t="n">
        <f aca="false">INDEX('2 Seasonal Index'!$D$3:$D$54,C249)</f>
        <v>1.00996081852754</v>
      </c>
      <c r="J249" s="16" t="n">
        <f aca="false">D249/I249</f>
        <v>9253.82433511225</v>
      </c>
      <c r="O249" s="14" t="n">
        <f aca="false">B249</f>
        <v>1494</v>
      </c>
      <c r="P249" s="16" t="n">
        <f aca="false">E249</f>
        <v>291520</v>
      </c>
      <c r="Q249" s="16" t="n">
        <f aca="false">F249</f>
        <v>205000</v>
      </c>
    </row>
    <row r="250" customFormat="false" ht="15" hidden="false" customHeight="false" outlineLevel="0" collapsed="false">
      <c r="A250" s="12" t="n">
        <v>43735</v>
      </c>
      <c r="B250" s="13" t="n">
        <v>1495</v>
      </c>
      <c r="C250" s="14" t="n">
        <f aca="false">MIN(52,INT((A250-DATE(YEAR(A250),1,1))/7)+1)</f>
        <v>39</v>
      </c>
      <c r="D250" s="15" t="n">
        <v>9137</v>
      </c>
      <c r="E250" s="15" t="n">
        <v>291520</v>
      </c>
      <c r="F250" s="15" t="n">
        <v>211000</v>
      </c>
      <c r="G250" s="16" t="n">
        <f aca="false">$M$3+$M$4*B250</f>
        <v>9093.4009663496</v>
      </c>
      <c r="H250" s="17" t="n">
        <f aca="false">D250/G250</f>
        <v>1.00479457947711</v>
      </c>
      <c r="I250" s="18" t="n">
        <f aca="false">INDEX('2 Seasonal Index'!$D$3:$D$54,C250)</f>
        <v>0.982712197281613</v>
      </c>
      <c r="J250" s="16" t="n">
        <f aca="false">D250/I250</f>
        <v>9297.73745077638</v>
      </c>
      <c r="O250" s="14" t="n">
        <f aca="false">B250</f>
        <v>1495</v>
      </c>
      <c r="P250" s="16" t="n">
        <f aca="false">E250</f>
        <v>291520</v>
      </c>
      <c r="Q250" s="16" t="n">
        <f aca="false">F250</f>
        <v>211000</v>
      </c>
    </row>
    <row r="251" customFormat="false" ht="15" hidden="false" customHeight="false" outlineLevel="0" collapsed="false">
      <c r="A251" s="12" t="n">
        <v>43742</v>
      </c>
      <c r="B251" s="13" t="n">
        <v>1496</v>
      </c>
      <c r="C251" s="14" t="n">
        <f aca="false">MIN(52,INT((A251-DATE(YEAR(A251),1,1))/7)+1)</f>
        <v>40</v>
      </c>
      <c r="D251" s="15" t="n">
        <v>9460</v>
      </c>
      <c r="E251" s="15" t="n">
        <v>291520</v>
      </c>
      <c r="F251" s="15" t="n">
        <v>215000</v>
      </c>
      <c r="G251" s="16" t="n">
        <f aca="false">$M$3+$M$4*B251</f>
        <v>9092.22829141128</v>
      </c>
      <c r="H251" s="17" t="n">
        <f aca="false">D251/G251</f>
        <v>1.04044901830458</v>
      </c>
      <c r="I251" s="18" t="n">
        <f aca="false">INDEX('2 Seasonal Index'!$D$3:$D$54,C251)</f>
        <v>1.0036663428041</v>
      </c>
      <c r="J251" s="16" t="n">
        <f aca="false">D251/I251</f>
        <v>9425.44309453493</v>
      </c>
      <c r="O251" s="14" t="n">
        <f aca="false">B251</f>
        <v>1496</v>
      </c>
      <c r="P251" s="16" t="n">
        <f aca="false">E251</f>
        <v>291520</v>
      </c>
      <c r="Q251" s="16" t="n">
        <f aca="false">F251</f>
        <v>215000</v>
      </c>
    </row>
    <row r="252" customFormat="false" ht="15" hidden="false" customHeight="false" outlineLevel="0" collapsed="false">
      <c r="A252" s="12" t="n">
        <v>43749</v>
      </c>
      <c r="B252" s="13" t="n">
        <v>1497</v>
      </c>
      <c r="C252" s="14" t="n">
        <f aca="false">MIN(52,INT((A252-DATE(YEAR(A252),1,1))/7)+1)</f>
        <v>41</v>
      </c>
      <c r="D252" s="15" t="n">
        <v>9354</v>
      </c>
      <c r="E252" s="15" t="n">
        <v>291520</v>
      </c>
      <c r="F252" s="15" t="n">
        <v>209000</v>
      </c>
      <c r="G252" s="16" t="n">
        <f aca="false">$M$3+$M$4*B252</f>
        <v>9091.05561647296</v>
      </c>
      <c r="H252" s="17" t="n">
        <f aca="false">D252/G252</f>
        <v>1.02892341600579</v>
      </c>
      <c r="I252" s="18" t="n">
        <f aca="false">INDEX('2 Seasonal Index'!$D$3:$D$54,C252)</f>
        <v>0.995835782550445</v>
      </c>
      <c r="J252" s="16" t="n">
        <f aca="false">D252/I252</f>
        <v>9393.1149732774</v>
      </c>
      <c r="O252" s="14" t="n">
        <f aca="false">B252</f>
        <v>1497</v>
      </c>
      <c r="P252" s="16" t="n">
        <f aca="false">E252</f>
        <v>291520</v>
      </c>
      <c r="Q252" s="16" t="n">
        <f aca="false">F252</f>
        <v>209000</v>
      </c>
    </row>
    <row r="253" customFormat="false" ht="15" hidden="false" customHeight="false" outlineLevel="0" collapsed="false">
      <c r="A253" s="12" t="n">
        <v>43756</v>
      </c>
      <c r="B253" s="13" t="n">
        <v>1498</v>
      </c>
      <c r="C253" s="14" t="n">
        <f aca="false">MIN(52,INT((A253-DATE(YEAR(A253),1,1))/7)+1)</f>
        <v>42</v>
      </c>
      <c r="D253" s="15" t="n">
        <v>9590</v>
      </c>
      <c r="E253" s="15" t="n">
        <v>293308</v>
      </c>
      <c r="F253" s="15" t="n">
        <v>215000</v>
      </c>
      <c r="G253" s="16" t="n">
        <f aca="false">$M$3+$M$4*B253</f>
        <v>9089.88294153464</v>
      </c>
      <c r="H253" s="17" t="n">
        <f aca="false">D253/G253</f>
        <v>1.05501908678935</v>
      </c>
      <c r="I253" s="18" t="n">
        <f aca="false">INDEX('2 Seasonal Index'!$D$3:$D$54,C253)</f>
        <v>1.00307364557144</v>
      </c>
      <c r="J253" s="16" t="n">
        <f aca="false">D253/I253</f>
        <v>9560.61406093134</v>
      </c>
      <c r="O253" s="14" t="n">
        <f aca="false">B253</f>
        <v>1498</v>
      </c>
      <c r="P253" s="16" t="n">
        <f aca="false">E253</f>
        <v>293308</v>
      </c>
      <c r="Q253" s="16" t="n">
        <f aca="false">F253</f>
        <v>215000</v>
      </c>
    </row>
    <row r="254" customFormat="false" ht="15" hidden="false" customHeight="false" outlineLevel="0" collapsed="false">
      <c r="A254" s="12" t="n">
        <v>43763</v>
      </c>
      <c r="B254" s="13" t="n">
        <v>1499</v>
      </c>
      <c r="C254" s="14" t="n">
        <f aca="false">MIN(52,INT((A254-DATE(YEAR(A254),1,1))/7)+1)</f>
        <v>43</v>
      </c>
      <c r="D254" s="15" t="n">
        <v>9784</v>
      </c>
      <c r="E254" s="15" t="n">
        <v>293308</v>
      </c>
      <c r="F254" s="15" t="n">
        <v>210000</v>
      </c>
      <c r="G254" s="16" t="n">
        <f aca="false">$M$3+$M$4*B254</f>
        <v>9088.71026659633</v>
      </c>
      <c r="H254" s="17" t="n">
        <f aca="false">D254/G254</f>
        <v>1.07650037387142</v>
      </c>
      <c r="I254" s="18" t="n">
        <f aca="false">INDEX('2 Seasonal Index'!$D$3:$D$54,C254)</f>
        <v>1.01224087755293</v>
      </c>
      <c r="J254" s="16" t="n">
        <f aca="false">D254/I254</f>
        <v>9665.68355118454</v>
      </c>
      <c r="O254" s="14" t="n">
        <f aca="false">B254</f>
        <v>1499</v>
      </c>
      <c r="P254" s="16" t="n">
        <f aca="false">E254</f>
        <v>293308</v>
      </c>
      <c r="Q254" s="16" t="n">
        <f aca="false">F254</f>
        <v>210000</v>
      </c>
    </row>
    <row r="255" customFormat="false" ht="15" hidden="false" customHeight="false" outlineLevel="0" collapsed="false">
      <c r="A255" s="12" t="n">
        <v>43770</v>
      </c>
      <c r="B255" s="13" t="n">
        <v>1500</v>
      </c>
      <c r="C255" s="14" t="n">
        <f aca="false">MIN(52,INT((A255-DATE(YEAR(A255),1,1))/7)+1)</f>
        <v>44</v>
      </c>
      <c r="D255" s="15" t="n">
        <v>9145</v>
      </c>
      <c r="E255" s="15" t="n">
        <v>293308</v>
      </c>
      <c r="F255" s="15" t="n">
        <v>215000</v>
      </c>
      <c r="G255" s="16" t="n">
        <f aca="false">$M$3+$M$4*B255</f>
        <v>9087.53759165801</v>
      </c>
      <c r="H255" s="17" t="n">
        <f aca="false">D255/G255</f>
        <v>1.00632320997437</v>
      </c>
      <c r="I255" s="18" t="n">
        <f aca="false">INDEX('2 Seasonal Index'!$D$3:$D$54,C255)</f>
        <v>1.01203159220993</v>
      </c>
      <c r="J255" s="16" t="n">
        <f aca="false">D255/I255</f>
        <v>9036.27917388471</v>
      </c>
      <c r="O255" s="14" t="n">
        <f aca="false">B255</f>
        <v>1500</v>
      </c>
      <c r="P255" s="16" t="n">
        <f aca="false">E255</f>
        <v>293308</v>
      </c>
      <c r="Q255" s="16" t="n">
        <f aca="false">F255</f>
        <v>215000</v>
      </c>
    </row>
    <row r="256" customFormat="false" ht="15" hidden="false" customHeight="false" outlineLevel="0" collapsed="false">
      <c r="A256" s="12" t="n">
        <v>43777</v>
      </c>
      <c r="B256" s="13" t="n">
        <v>1501</v>
      </c>
      <c r="C256" s="14" t="n">
        <f aca="false">MIN(52,INT((A256-DATE(YEAR(A256),1,1))/7)+1)</f>
        <v>45</v>
      </c>
      <c r="D256" s="15" t="n">
        <v>9321</v>
      </c>
      <c r="E256" s="15" t="n">
        <v>293308</v>
      </c>
      <c r="F256" s="15" t="n">
        <v>214000</v>
      </c>
      <c r="G256" s="16" t="n">
        <f aca="false">$M$3+$M$4*B256</f>
        <v>9086.36491671969</v>
      </c>
      <c r="H256" s="17" t="n">
        <f aca="false">D256/G256</f>
        <v>1.02582276690743</v>
      </c>
      <c r="I256" s="18" t="n">
        <f aca="false">INDEX('2 Seasonal Index'!$D$3:$D$54,C256)</f>
        <v>1.01104078083898</v>
      </c>
      <c r="J256" s="16" t="n">
        <f aca="false">D256/I256</f>
        <v>9219.21269314707</v>
      </c>
      <c r="O256" s="14" t="n">
        <f aca="false">B256</f>
        <v>1501</v>
      </c>
      <c r="P256" s="16" t="n">
        <f aca="false">E256</f>
        <v>293308</v>
      </c>
      <c r="Q256" s="16" t="n">
        <f aca="false">F256</f>
        <v>214000</v>
      </c>
    </row>
    <row r="257" customFormat="false" ht="15" hidden="false" customHeight="false" outlineLevel="0" collapsed="false">
      <c r="A257" s="12" t="n">
        <v>43784</v>
      </c>
      <c r="B257" s="13" t="n">
        <v>1502</v>
      </c>
      <c r="C257" s="14" t="n">
        <f aca="false">MIN(52,INT((A257-DATE(YEAR(A257),1,1))/7)+1)</f>
        <v>46</v>
      </c>
      <c r="D257" s="15" t="n">
        <v>9192</v>
      </c>
      <c r="E257" s="15" t="n">
        <v>273319</v>
      </c>
      <c r="F257" s="15" t="n">
        <v>227000</v>
      </c>
      <c r="G257" s="16" t="n">
        <f aca="false">$M$3+$M$4*B257</f>
        <v>9085.19224178137</v>
      </c>
      <c r="H257" s="17" t="n">
        <f aca="false">D257/G257</f>
        <v>1.01175624635959</v>
      </c>
      <c r="I257" s="18" t="n">
        <f aca="false">INDEX('2 Seasonal Index'!$D$3:$D$54,C257)</f>
        <v>0.986356106092814</v>
      </c>
      <c r="J257" s="16" t="n">
        <f aca="false">D257/I257</f>
        <v>9319.14948690454</v>
      </c>
      <c r="O257" s="14" t="n">
        <f aca="false">B257</f>
        <v>1502</v>
      </c>
      <c r="P257" s="16" t="n">
        <f aca="false">E257</f>
        <v>273319</v>
      </c>
      <c r="Q257" s="16" t="n">
        <f aca="false">F257</f>
        <v>227000</v>
      </c>
    </row>
    <row r="258" customFormat="false" ht="15" hidden="false" customHeight="false" outlineLevel="0" collapsed="false">
      <c r="A258" s="12" t="n">
        <v>43791</v>
      </c>
      <c r="B258" s="13" t="n">
        <v>1503</v>
      </c>
      <c r="C258" s="14" t="n">
        <f aca="false">MIN(52,INT((A258-DATE(YEAR(A258),1,1))/7)+1)</f>
        <v>47</v>
      </c>
      <c r="D258" s="15" t="n">
        <v>9204</v>
      </c>
      <c r="E258" s="15" t="n">
        <v>273319</v>
      </c>
      <c r="F258" s="15" t="n">
        <v>229000</v>
      </c>
      <c r="G258" s="16" t="n">
        <f aca="false">$M$3+$M$4*B258</f>
        <v>9084.01956684305</v>
      </c>
      <c r="H258" s="17" t="n">
        <f aca="false">D258/G258</f>
        <v>1.01320785719076</v>
      </c>
      <c r="I258" s="18" t="n">
        <f aca="false">INDEX('2 Seasonal Index'!$D$3:$D$54,C258)</f>
        <v>0.965789408729148</v>
      </c>
      <c r="J258" s="16" t="n">
        <f aca="false">D258/I258</f>
        <v>9530.02788890723</v>
      </c>
      <c r="O258" s="14" t="n">
        <f aca="false">B258</f>
        <v>1503</v>
      </c>
      <c r="P258" s="16" t="n">
        <f aca="false">E258</f>
        <v>273319</v>
      </c>
      <c r="Q258" s="16" t="n">
        <f aca="false">F258</f>
        <v>229000</v>
      </c>
    </row>
    <row r="259" customFormat="false" ht="15" hidden="false" customHeight="false" outlineLevel="0" collapsed="false">
      <c r="A259" s="12" t="n">
        <v>43798</v>
      </c>
      <c r="B259" s="13" t="n">
        <v>1504</v>
      </c>
      <c r="C259" s="14" t="n">
        <f aca="false">MIN(52,INT((A259-DATE(YEAR(A259),1,1))/7)+1)</f>
        <v>48</v>
      </c>
      <c r="D259" s="15" t="n">
        <v>9032</v>
      </c>
      <c r="E259" s="15" t="n">
        <v>273319</v>
      </c>
      <c r="F259" s="15" t="n">
        <v>221000</v>
      </c>
      <c r="G259" s="16" t="n">
        <f aca="false">$M$3+$M$4*B259</f>
        <v>9082.84689190473</v>
      </c>
      <c r="H259" s="17" t="n">
        <f aca="false">D259/G259</f>
        <v>0.994401877240709</v>
      </c>
      <c r="I259" s="18" t="n">
        <f aca="false">INDEX('2 Seasonal Index'!$D$3:$D$54,C259)</f>
        <v>0.974753768618106</v>
      </c>
      <c r="J259" s="16" t="n">
        <f aca="false">D259/I259</f>
        <v>9265.92980789859</v>
      </c>
      <c r="O259" s="14" t="n">
        <f aca="false">B259</f>
        <v>1504</v>
      </c>
      <c r="P259" s="16" t="n">
        <f aca="false">E259</f>
        <v>273319</v>
      </c>
      <c r="Q259" s="16" t="n">
        <f aca="false">F259</f>
        <v>221000</v>
      </c>
    </row>
    <row r="260" customFormat="false" ht="15" hidden="false" customHeight="false" outlineLevel="0" collapsed="false">
      <c r="A260" s="12" t="n">
        <v>43805</v>
      </c>
      <c r="B260" s="13" t="n">
        <v>1505</v>
      </c>
      <c r="C260" s="14" t="n">
        <f aca="false">MIN(52,INT((A260-DATE(YEAR(A260),1,1))/7)+1)</f>
        <v>49</v>
      </c>
      <c r="D260" s="15" t="n">
        <v>8882</v>
      </c>
      <c r="E260" s="15" t="n">
        <v>273319</v>
      </c>
      <c r="F260" s="15" t="n">
        <v>231000</v>
      </c>
      <c r="G260" s="16" t="n">
        <f aca="false">$M$3+$M$4*B260</f>
        <v>9081.67421696641</v>
      </c>
      <c r="H260" s="17" t="n">
        <f aca="false">D260/G260</f>
        <v>0.978013501454018</v>
      </c>
      <c r="I260" s="18" t="n">
        <f aca="false">INDEX('2 Seasonal Index'!$D$3:$D$54,C260)</f>
        <v>0.980293720669235</v>
      </c>
      <c r="J260" s="16" t="n">
        <f aca="false">D260/I260</f>
        <v>9060.54972374643</v>
      </c>
      <c r="O260" s="14" t="n">
        <f aca="false">B260</f>
        <v>1505</v>
      </c>
      <c r="P260" s="16" t="n">
        <f aca="false">E260</f>
        <v>273319</v>
      </c>
      <c r="Q260" s="16" t="n">
        <f aca="false">F260</f>
        <v>231000</v>
      </c>
    </row>
    <row r="261" customFormat="false" ht="15" hidden="false" customHeight="false" outlineLevel="0" collapsed="false">
      <c r="A261" s="12" t="n">
        <v>43812</v>
      </c>
      <c r="B261" s="13" t="n">
        <v>1506</v>
      </c>
      <c r="C261" s="14" t="n">
        <f aca="false">MIN(52,INT((A261-DATE(YEAR(A261),1,1))/7)+1)</f>
        <v>50</v>
      </c>
      <c r="D261" s="15" t="n">
        <v>9411</v>
      </c>
      <c r="E261" s="15" t="n">
        <v>273319</v>
      </c>
      <c r="F261" s="15" t="n">
        <v>247000</v>
      </c>
      <c r="G261" s="16" t="n">
        <f aca="false">$M$3+$M$4*B261</f>
        <v>9080.50154202809</v>
      </c>
      <c r="H261" s="17" t="n">
        <f aca="false">D261/G261</f>
        <v>1.03639649819366</v>
      </c>
      <c r="I261" s="18" t="n">
        <f aca="false">INDEX('2 Seasonal Index'!$D$3:$D$54,C261)</f>
        <v>1.00060911532618</v>
      </c>
      <c r="J261" s="16" t="n">
        <f aca="false">D261/I261</f>
        <v>9405.27110522293</v>
      </c>
      <c r="O261" s="14" t="n">
        <f aca="false">B261</f>
        <v>1506</v>
      </c>
      <c r="P261" s="16" t="n">
        <f aca="false">E261</f>
        <v>273319</v>
      </c>
      <c r="Q261" s="16" t="n">
        <f aca="false">F261</f>
        <v>247000</v>
      </c>
    </row>
    <row r="262" customFormat="false" ht="15" hidden="false" customHeight="false" outlineLevel="0" collapsed="false">
      <c r="A262" s="12" t="n">
        <v>43819</v>
      </c>
      <c r="B262" s="13" t="n">
        <v>1507</v>
      </c>
      <c r="C262" s="14" t="n">
        <f aca="false">MIN(52,INT((A262-DATE(YEAR(A262),1,1))/7)+1)</f>
        <v>51</v>
      </c>
      <c r="D262" s="15" t="n">
        <v>9303</v>
      </c>
      <c r="E262" s="15" t="n">
        <v>283961</v>
      </c>
      <c r="F262" s="15" t="n">
        <v>236000</v>
      </c>
      <c r="G262" s="16" t="n">
        <f aca="false">$M$3+$M$4*B262</f>
        <v>9079.32886708978</v>
      </c>
      <c r="H262" s="17" t="n">
        <f aca="false">D262/G262</f>
        <v>1.02463520555148</v>
      </c>
      <c r="I262" s="18" t="n">
        <f aca="false">INDEX('2 Seasonal Index'!$D$3:$D$54,C262)</f>
        <v>1.02197331378228</v>
      </c>
      <c r="J262" s="16" t="n">
        <f aca="false">D262/I262</f>
        <v>9102.97742078023</v>
      </c>
      <c r="O262" s="14" t="n">
        <f aca="false">B262</f>
        <v>1507</v>
      </c>
      <c r="P262" s="16" t="n">
        <f aca="false">E262</f>
        <v>283961</v>
      </c>
      <c r="Q262" s="16" t="n">
        <f aca="false">F262</f>
        <v>236000</v>
      </c>
    </row>
    <row r="263" customFormat="false" ht="15" hidden="false" customHeight="false" outlineLevel="0" collapsed="false">
      <c r="A263" s="12" t="n">
        <v>43826</v>
      </c>
      <c r="B263" s="13" t="n">
        <v>1508</v>
      </c>
      <c r="C263" s="14" t="n">
        <f aca="false">MIN(52,INT((A263-DATE(YEAR(A263),1,1))/7)+1)</f>
        <v>52</v>
      </c>
      <c r="D263" s="15" t="n">
        <v>8961</v>
      </c>
      <c r="E263" s="15" t="n">
        <v>283961</v>
      </c>
      <c r="F263" s="15" t="n">
        <v>230000</v>
      </c>
      <c r="G263" s="16" t="n">
        <f aca="false">$M$3+$M$4*B263</f>
        <v>9078.15619215146</v>
      </c>
      <c r="H263" s="17" t="n">
        <f aca="false">D263/G263</f>
        <v>0.987094715086226</v>
      </c>
      <c r="I263" s="18" t="n">
        <f aca="false">INDEX('2 Seasonal Index'!$D$3:$D$54,C263)</f>
        <v>0.941059701689701</v>
      </c>
      <c r="J263" s="16" t="n">
        <f aca="false">D263/I263</f>
        <v>9522.24389580199</v>
      </c>
      <c r="O263" s="14" t="n">
        <f aca="false">B263</f>
        <v>1508</v>
      </c>
      <c r="P263" s="16" t="n">
        <f aca="false">E263</f>
        <v>283961</v>
      </c>
      <c r="Q263" s="16" t="n">
        <f aca="false">F263</f>
        <v>230000</v>
      </c>
    </row>
    <row r="264" customFormat="false" ht="15" hidden="false" customHeight="false" outlineLevel="0" collapsed="false">
      <c r="A264" s="12" t="n">
        <v>44568</v>
      </c>
      <c r="B264" s="13" t="n">
        <v>1614</v>
      </c>
      <c r="C264" s="14" t="n">
        <f aca="false">MIN(52,INT((A264-DATE(YEAR(A264),1,1))/7)+1)</f>
        <v>1</v>
      </c>
      <c r="D264" s="15" t="n">
        <v>7906</v>
      </c>
      <c r="E264" s="15" t="n">
        <v>277877</v>
      </c>
      <c r="F264" s="15" t="n">
        <v>229000</v>
      </c>
      <c r="G264" s="16" t="n">
        <f aca="false">$M$3+$M$4*B264</f>
        <v>8953.85264868964</v>
      </c>
      <c r="H264" s="17" t="n">
        <f aca="false">D264/G264</f>
        <v>0.88297186811054</v>
      </c>
      <c r="I264" s="18" t="n">
        <f aca="false">INDEX('2 Seasonal Index'!$D$3:$D$54,C264)</f>
        <v>0.914658189121246</v>
      </c>
      <c r="J264" s="16" t="n">
        <f aca="false">D264/I264</f>
        <v>8643.66611924795</v>
      </c>
      <c r="O264" s="14" t="n">
        <f aca="false">B264</f>
        <v>1614</v>
      </c>
      <c r="P264" s="16" t="n">
        <f aca="false">E264</f>
        <v>277877</v>
      </c>
      <c r="Q264" s="16" t="n">
        <f aca="false">F264</f>
        <v>229000</v>
      </c>
    </row>
    <row r="265" customFormat="false" ht="15" hidden="false" customHeight="false" outlineLevel="0" collapsed="false">
      <c r="A265" s="12" t="n">
        <v>44575</v>
      </c>
      <c r="B265" s="13" t="n">
        <v>1615</v>
      </c>
      <c r="C265" s="14" t="n">
        <f aca="false">MIN(52,INT((A265-DATE(YEAR(A265),1,1))/7)+1)</f>
        <v>2</v>
      </c>
      <c r="D265" s="15" t="n">
        <v>8224</v>
      </c>
      <c r="E265" s="15" t="n">
        <v>277877</v>
      </c>
      <c r="F265" s="15" t="n">
        <v>250000</v>
      </c>
      <c r="G265" s="16" t="n">
        <f aca="false">$M$3+$M$4*B265</f>
        <v>8952.67997375132</v>
      </c>
      <c r="H265" s="17" t="n">
        <f aca="false">D265/G265</f>
        <v>0.918607615162414</v>
      </c>
      <c r="I265" s="18" t="n">
        <f aca="false">INDEX('2 Seasonal Index'!$D$3:$D$54,C265)</f>
        <v>0.921123720796805</v>
      </c>
      <c r="J265" s="16" t="n">
        <f aca="false">D265/I265</f>
        <v>8928.22518226536</v>
      </c>
      <c r="O265" s="14" t="n">
        <f aca="false">B265</f>
        <v>1615</v>
      </c>
      <c r="P265" s="16" t="n">
        <f aca="false">E265</f>
        <v>277877</v>
      </c>
      <c r="Q265" s="16" t="n">
        <f aca="false">F265</f>
        <v>250000</v>
      </c>
    </row>
    <row r="266" customFormat="false" ht="15" hidden="false" customHeight="false" outlineLevel="0" collapsed="false">
      <c r="A266" s="12" t="n">
        <v>44582</v>
      </c>
      <c r="B266" s="13" t="n">
        <v>1616</v>
      </c>
      <c r="C266" s="14" t="n">
        <f aca="false">MIN(52,INT((A266-DATE(YEAR(A266),1,1))/7)+1)</f>
        <v>3</v>
      </c>
      <c r="D266" s="15" t="n">
        <v>8505</v>
      </c>
      <c r="E266" s="15" t="n">
        <v>260433</v>
      </c>
      <c r="F266" s="15" t="n">
        <v>246000</v>
      </c>
      <c r="G266" s="16" t="n">
        <f aca="false">$M$3+$M$4*B266</f>
        <v>8951.507298813</v>
      </c>
      <c r="H266" s="17" t="n">
        <f aca="false">D266/G266</f>
        <v>0.950119316902952</v>
      </c>
      <c r="I266" s="18" t="n">
        <f aca="false">INDEX('2 Seasonal Index'!$D$3:$D$54,C266)</f>
        <v>0.932475709892495</v>
      </c>
      <c r="J266" s="16" t="n">
        <f aca="false">D266/I266</f>
        <v>9120.88101574307</v>
      </c>
      <c r="O266" s="14" t="n">
        <f aca="false">B266</f>
        <v>1616</v>
      </c>
      <c r="P266" s="16" t="n">
        <f aca="false">E266</f>
        <v>260433</v>
      </c>
      <c r="Q266" s="16" t="n">
        <f aca="false">F266</f>
        <v>246000</v>
      </c>
    </row>
    <row r="267" customFormat="false" ht="15" hidden="false" customHeight="false" outlineLevel="0" collapsed="false">
      <c r="A267" s="12" t="n">
        <v>44589</v>
      </c>
      <c r="B267" s="13" t="n">
        <v>1617</v>
      </c>
      <c r="C267" s="14" t="n">
        <f aca="false">MIN(52,INT((A267-DATE(YEAR(A267),1,1))/7)+1)</f>
        <v>4</v>
      </c>
      <c r="D267" s="15" t="n">
        <v>8226</v>
      </c>
      <c r="E267" s="15" t="n">
        <v>260433</v>
      </c>
      <c r="F267" s="15" t="n">
        <v>240000</v>
      </c>
      <c r="G267" s="16" t="n">
        <f aca="false">$M$3+$M$4*B267</f>
        <v>8950.33462387468</v>
      </c>
      <c r="H267" s="17" t="n">
        <f aca="false">D267/G267</f>
        <v>0.919071782864682</v>
      </c>
      <c r="I267" s="18" t="n">
        <f aca="false">INDEX('2 Seasonal Index'!$D$3:$D$54,C267)</f>
        <v>0.95567024426302</v>
      </c>
      <c r="J267" s="16" t="n">
        <f aca="false">D267/I267</f>
        <v>8607.57154403569</v>
      </c>
      <c r="O267" s="14" t="n">
        <f aca="false">B267</f>
        <v>1617</v>
      </c>
      <c r="P267" s="16" t="n">
        <f aca="false">E267</f>
        <v>260433</v>
      </c>
      <c r="Q267" s="16" t="n">
        <f aca="false">F267</f>
        <v>240000</v>
      </c>
    </row>
    <row r="268" customFormat="false" ht="15" hidden="false" customHeight="false" outlineLevel="0" collapsed="false">
      <c r="A268" s="12" t="n">
        <v>44596</v>
      </c>
      <c r="B268" s="13" t="n">
        <v>1618</v>
      </c>
      <c r="C268" s="14" t="n">
        <f aca="false">MIN(52,INT((A268-DATE(YEAR(A268),1,1))/7)+1)</f>
        <v>5</v>
      </c>
      <c r="D268" s="15" t="n">
        <v>9126</v>
      </c>
      <c r="E268" s="15" t="n">
        <v>260433</v>
      </c>
      <c r="F268" s="15" t="n">
        <v>231000</v>
      </c>
      <c r="G268" s="16" t="n">
        <f aca="false">$M$3+$M$4*B268</f>
        <v>8949.16194893636</v>
      </c>
      <c r="H268" s="17" t="n">
        <f aca="false">D268/G268</f>
        <v>1.01976029175387</v>
      </c>
      <c r="I268" s="18" t="n">
        <f aca="false">INDEX('2 Seasonal Index'!$D$3:$D$54,C268)</f>
        <v>0.963785211095498</v>
      </c>
      <c r="J268" s="16" t="n">
        <f aca="false">D268/I268</f>
        <v>9468.91474878186</v>
      </c>
      <c r="O268" s="14" t="n">
        <f aca="false">B268</f>
        <v>1618</v>
      </c>
      <c r="P268" s="16" t="n">
        <f aca="false">E268</f>
        <v>260433</v>
      </c>
      <c r="Q268" s="16" t="n">
        <f aca="false">F268</f>
        <v>231000</v>
      </c>
    </row>
    <row r="269" customFormat="false" ht="15" hidden="false" customHeight="false" outlineLevel="0" collapsed="false">
      <c r="A269" s="12" t="n">
        <v>44603</v>
      </c>
      <c r="B269" s="13" t="n">
        <v>1619</v>
      </c>
      <c r="C269" s="14" t="n">
        <f aca="false">MIN(52,INT((A269-DATE(YEAR(A269),1,1))/7)+1)</f>
        <v>6</v>
      </c>
      <c r="D269" s="15" t="n">
        <v>8570</v>
      </c>
      <c r="E269" s="15" t="n">
        <v>260433</v>
      </c>
      <c r="F269" s="15" t="n">
        <v>210000</v>
      </c>
      <c r="G269" s="16" t="n">
        <f aca="false">$M$3+$M$4*B269</f>
        <v>8947.98927399805</v>
      </c>
      <c r="H269" s="17" t="n">
        <f aca="false">D269/G269</f>
        <v>0.957757071178388</v>
      </c>
      <c r="I269" s="18" t="n">
        <f aca="false">INDEX('2 Seasonal Index'!$D$3:$D$54,C269)</f>
        <v>0.93990301851115</v>
      </c>
      <c r="J269" s="16" t="n">
        <f aca="false">D269/I269</f>
        <v>9117.96199311635</v>
      </c>
      <c r="O269" s="14" t="n">
        <f aca="false">B269</f>
        <v>1619</v>
      </c>
      <c r="P269" s="16" t="n">
        <f aca="false">E269</f>
        <v>260433</v>
      </c>
      <c r="Q269" s="16" t="n">
        <f aca="false">F269</f>
        <v>210000</v>
      </c>
    </row>
    <row r="270" customFormat="false" ht="15" hidden="false" customHeight="false" outlineLevel="0" collapsed="false">
      <c r="A270" s="12" t="n">
        <v>44610</v>
      </c>
      <c r="B270" s="13" t="n">
        <v>1620</v>
      </c>
      <c r="C270" s="14" t="n">
        <f aca="false">MIN(52,INT((A270-DATE(YEAR(A270),1,1))/7)+1)</f>
        <v>7</v>
      </c>
      <c r="D270" s="15" t="n">
        <v>8657</v>
      </c>
      <c r="E270" s="15" t="n">
        <v>261028</v>
      </c>
      <c r="F270" s="15" t="n">
        <v>234000</v>
      </c>
      <c r="G270" s="16" t="n">
        <f aca="false">$M$3+$M$4*B270</f>
        <v>8946.81659905973</v>
      </c>
      <c r="H270" s="17" t="n">
        <f aca="false">D270/G270</f>
        <v>0.967606735216839</v>
      </c>
      <c r="I270" s="18" t="n">
        <f aca="false">INDEX('2 Seasonal Index'!$D$3:$D$54,C270)</f>
        <v>0.963162093989007</v>
      </c>
      <c r="J270" s="16" t="n">
        <f aca="false">D270/I270</f>
        <v>8988.10288945903</v>
      </c>
      <c r="O270" s="14" t="n">
        <f aca="false">B270</f>
        <v>1620</v>
      </c>
      <c r="P270" s="16" t="n">
        <f aca="false">E270</f>
        <v>261028</v>
      </c>
      <c r="Q270" s="16" t="n">
        <f aca="false">F270</f>
        <v>234000</v>
      </c>
    </row>
    <row r="271" customFormat="false" ht="15" hidden="false" customHeight="false" outlineLevel="0" collapsed="false">
      <c r="A271" s="12" t="n">
        <v>44617</v>
      </c>
      <c r="B271" s="13" t="n">
        <v>1621</v>
      </c>
      <c r="C271" s="14" t="n">
        <f aca="false">MIN(52,INT((A271-DATE(YEAR(A271),1,1))/7)+1)</f>
        <v>8</v>
      </c>
      <c r="D271" s="15" t="n">
        <v>8743</v>
      </c>
      <c r="E271" s="15" t="n">
        <v>261028</v>
      </c>
      <c r="F271" s="15" t="n">
        <v>224000</v>
      </c>
      <c r="G271" s="16" t="n">
        <f aca="false">$M$3+$M$4*B271</f>
        <v>8945.64392412141</v>
      </c>
      <c r="H271" s="17" t="n">
        <f aca="false">D271/G271</f>
        <v>0.977347195367905</v>
      </c>
      <c r="I271" s="18" t="n">
        <f aca="false">INDEX('2 Seasonal Index'!$D$3:$D$54,C271)</f>
        <v>0.978387056473038</v>
      </c>
      <c r="J271" s="16" t="n">
        <f aca="false">D271/I271</f>
        <v>8936.13620719535</v>
      </c>
      <c r="O271" s="14" t="n">
        <f aca="false">B271</f>
        <v>1621</v>
      </c>
      <c r="P271" s="16" t="n">
        <f aca="false">E271</f>
        <v>261028</v>
      </c>
      <c r="Q271" s="16" t="n">
        <f aca="false">F271</f>
        <v>224000</v>
      </c>
    </row>
    <row r="272" customFormat="false" ht="15" hidden="false" customHeight="false" outlineLevel="0" collapsed="false">
      <c r="A272" s="12" t="n">
        <v>44624</v>
      </c>
      <c r="B272" s="13" t="n">
        <v>1622</v>
      </c>
      <c r="C272" s="14" t="n">
        <f aca="false">MIN(52,INT((A272-DATE(YEAR(A272),1,1))/7)+1)</f>
        <v>9</v>
      </c>
      <c r="D272" s="15" t="n">
        <v>8962</v>
      </c>
      <c r="E272" s="15" t="n">
        <v>261028</v>
      </c>
      <c r="F272" s="15" t="n">
        <v>208000</v>
      </c>
      <c r="G272" s="16" t="n">
        <f aca="false">$M$3+$M$4*B272</f>
        <v>8944.47124918309</v>
      </c>
      <c r="H272" s="17" t="n">
        <f aca="false">D272/G272</f>
        <v>1.00195973024325</v>
      </c>
      <c r="I272" s="18" t="n">
        <f aca="false">INDEX('2 Seasonal Index'!$D$3:$D$54,C272)</f>
        <v>0.986293676275175</v>
      </c>
      <c r="J272" s="16" t="n">
        <f aca="false">D272/I272</f>
        <v>9086.5431012858</v>
      </c>
      <c r="O272" s="14" t="n">
        <f aca="false">B272</f>
        <v>1622</v>
      </c>
      <c r="P272" s="16" t="n">
        <f aca="false">E272</f>
        <v>261028</v>
      </c>
      <c r="Q272" s="16" t="n">
        <f aca="false">F272</f>
        <v>208000</v>
      </c>
    </row>
    <row r="273" customFormat="false" ht="15" hidden="false" customHeight="false" outlineLevel="0" collapsed="false">
      <c r="A273" s="12" t="n">
        <v>44631</v>
      </c>
      <c r="B273" s="13" t="n">
        <v>1623</v>
      </c>
      <c r="C273" s="14" t="n">
        <f aca="false">MIN(52,INT((A273-DATE(YEAR(A273),1,1))/7)+1)</f>
        <v>10</v>
      </c>
      <c r="D273" s="15" t="n">
        <v>8944</v>
      </c>
      <c r="E273" s="15" t="n">
        <v>261028</v>
      </c>
      <c r="F273" s="15" t="n">
        <v>222000</v>
      </c>
      <c r="G273" s="16" t="n">
        <f aca="false">$M$3+$M$4*B273</f>
        <v>8943.29857424477</v>
      </c>
      <c r="H273" s="17" t="n">
        <f aca="false">D273/G273</f>
        <v>1.00007843031846</v>
      </c>
      <c r="I273" s="18" t="n">
        <f aca="false">INDEX('2 Seasonal Index'!$D$3:$D$54,C273)</f>
        <v>0.995274907218877</v>
      </c>
      <c r="J273" s="16" t="n">
        <f aca="false">D273/I273</f>
        <v>8986.46186609131</v>
      </c>
      <c r="O273" s="14" t="n">
        <f aca="false">B273</f>
        <v>1623</v>
      </c>
      <c r="P273" s="16" t="n">
        <f aca="false">E273</f>
        <v>261028</v>
      </c>
      <c r="Q273" s="16" t="n">
        <f aca="false">F273</f>
        <v>222000</v>
      </c>
    </row>
    <row r="274" customFormat="false" ht="15" hidden="false" customHeight="false" outlineLevel="0" collapsed="false">
      <c r="A274" s="12" t="n">
        <v>44638</v>
      </c>
      <c r="B274" s="13" t="n">
        <v>1624</v>
      </c>
      <c r="C274" s="14" t="n">
        <f aca="false">MIN(52,INT((A274-DATE(YEAR(A274),1,1))/7)+1)</f>
        <v>11</v>
      </c>
      <c r="D274" s="15" t="n">
        <v>8637</v>
      </c>
      <c r="E274" s="15" t="n">
        <v>236055</v>
      </c>
      <c r="F274" s="15" t="n">
        <v>217000</v>
      </c>
      <c r="G274" s="16" t="n">
        <f aca="false">$M$3+$M$4*B274</f>
        <v>8942.12589930645</v>
      </c>
      <c r="H274" s="17" t="n">
        <f aca="false">D274/G274</f>
        <v>0.9658777003654</v>
      </c>
      <c r="I274" s="18" t="n">
        <f aca="false">INDEX('2 Seasonal Index'!$D$3:$D$54,C274)</f>
        <v>1.00212775296089</v>
      </c>
      <c r="J274" s="16" t="n">
        <f aca="false">D274/I274</f>
        <v>8618.661617225</v>
      </c>
      <c r="O274" s="14" t="n">
        <f aca="false">B274</f>
        <v>1624</v>
      </c>
      <c r="P274" s="16" t="n">
        <f aca="false">E274</f>
        <v>236055</v>
      </c>
      <c r="Q274" s="16" t="n">
        <f aca="false">F274</f>
        <v>217000</v>
      </c>
    </row>
    <row r="275" customFormat="false" ht="15" hidden="false" customHeight="false" outlineLevel="0" collapsed="false">
      <c r="A275" s="12" t="n">
        <v>44645</v>
      </c>
      <c r="B275" s="13" t="n">
        <v>1625</v>
      </c>
      <c r="C275" s="14" t="n">
        <f aca="false">MIN(52,INT((A275-DATE(YEAR(A275),1,1))/7)+1)</f>
        <v>12</v>
      </c>
      <c r="D275" s="15" t="n">
        <v>8499</v>
      </c>
      <c r="E275" s="15" t="n">
        <v>236055</v>
      </c>
      <c r="F275" s="15" t="n">
        <v>207000</v>
      </c>
      <c r="G275" s="16" t="n">
        <f aca="false">$M$3+$M$4*B275</f>
        <v>8940.95322436813</v>
      </c>
      <c r="H275" s="17" t="n">
        <f aca="false">D275/G275</f>
        <v>0.950569786769088</v>
      </c>
      <c r="I275" s="18" t="n">
        <f aca="false">INDEX('2 Seasonal Index'!$D$3:$D$54,C275)</f>
        <v>0.99255102448152</v>
      </c>
      <c r="J275" s="16" t="n">
        <f aca="false">D275/I275</f>
        <v>8562.78396814877</v>
      </c>
      <c r="O275" s="14" t="n">
        <f aca="false">B275</f>
        <v>1625</v>
      </c>
      <c r="P275" s="16" t="n">
        <f aca="false">E275</f>
        <v>236055</v>
      </c>
      <c r="Q275" s="16" t="n">
        <f aca="false">F275</f>
        <v>207000</v>
      </c>
    </row>
    <row r="276" customFormat="false" ht="15" hidden="false" customHeight="false" outlineLevel="0" collapsed="false">
      <c r="A276" s="12" t="n">
        <v>44652</v>
      </c>
      <c r="B276" s="13" t="n">
        <v>1626</v>
      </c>
      <c r="C276" s="14" t="n">
        <f aca="false">MIN(52,INT((A276-DATE(YEAR(A276),1,1))/7)+1)</f>
        <v>13</v>
      </c>
      <c r="D276" s="15" t="n">
        <v>8562</v>
      </c>
      <c r="E276" s="15" t="n">
        <v>236055</v>
      </c>
      <c r="F276" s="15" t="n">
        <v>214000</v>
      </c>
      <c r="G276" s="16" t="n">
        <f aca="false">$M$3+$M$4*B276</f>
        <v>8939.78054942981</v>
      </c>
      <c r="H276" s="17" t="n">
        <f aca="false">D276/G276</f>
        <v>0.957741630530975</v>
      </c>
      <c r="I276" s="18" t="n">
        <f aca="false">INDEX('2 Seasonal Index'!$D$3:$D$54,C276)</f>
        <v>1.00671990755393</v>
      </c>
      <c r="J276" s="16" t="n">
        <f aca="false">D276/I276</f>
        <v>8504.84820629347</v>
      </c>
      <c r="O276" s="14" t="n">
        <f aca="false">B276</f>
        <v>1626</v>
      </c>
      <c r="P276" s="16" t="n">
        <f aca="false">E276</f>
        <v>236055</v>
      </c>
      <c r="Q276" s="16" t="n">
        <f aca="false">F276</f>
        <v>214000</v>
      </c>
    </row>
    <row r="277" customFormat="false" ht="15" hidden="false" customHeight="false" outlineLevel="0" collapsed="false">
      <c r="A277" s="12" t="n">
        <v>44659</v>
      </c>
      <c r="B277" s="13" t="n">
        <v>1627</v>
      </c>
      <c r="C277" s="14" t="n">
        <f aca="false">MIN(52,INT((A277-DATE(YEAR(A277),1,1))/7)+1)</f>
        <v>14</v>
      </c>
      <c r="D277" s="15" t="n">
        <v>8736</v>
      </c>
      <c r="E277" s="15" t="n">
        <v>236055</v>
      </c>
      <c r="F277" s="15" t="n">
        <v>214000</v>
      </c>
      <c r="G277" s="16" t="n">
        <f aca="false">$M$3+$M$4*B277</f>
        <v>8938.60787449149</v>
      </c>
      <c r="H277" s="17" t="n">
        <f aca="false">D277/G277</f>
        <v>0.977333397175898</v>
      </c>
      <c r="I277" s="18" t="n">
        <f aca="false">INDEX('2 Seasonal Index'!$D$3:$D$54,C277)</f>
        <v>0.994713065050192</v>
      </c>
      <c r="J277" s="16" t="n">
        <f aca="false">D277/I277</f>
        <v>8782.43214746475</v>
      </c>
      <c r="O277" s="14" t="n">
        <f aca="false">B277</f>
        <v>1627</v>
      </c>
      <c r="P277" s="16" t="n">
        <f aca="false">E277</f>
        <v>236055</v>
      </c>
      <c r="Q277" s="16" t="n">
        <f aca="false">F277</f>
        <v>214000</v>
      </c>
    </row>
    <row r="278" customFormat="false" ht="15" hidden="false" customHeight="false" outlineLevel="0" collapsed="false">
      <c r="A278" s="12" t="n">
        <v>44666</v>
      </c>
      <c r="B278" s="13" t="n">
        <v>1628</v>
      </c>
      <c r="C278" s="14" t="n">
        <f aca="false">MIN(52,INT((A278-DATE(YEAR(A278),1,1))/7)+1)</f>
        <v>15</v>
      </c>
      <c r="D278" s="15" t="n">
        <v>8868</v>
      </c>
      <c r="E278" s="15" t="n">
        <v>231137</v>
      </c>
      <c r="F278" s="15" t="n">
        <v>214000</v>
      </c>
      <c r="G278" s="16" t="n">
        <f aca="false">$M$3+$M$4*B278</f>
        <v>8937.43519955317</v>
      </c>
      <c r="H278" s="17" t="n">
        <f aca="false">D278/G278</f>
        <v>0.992230970294851</v>
      </c>
      <c r="I278" s="18" t="n">
        <f aca="false">INDEX('2 Seasonal Index'!$D$3:$D$54,C278)</f>
        <v>1.00303091571571</v>
      </c>
      <c r="J278" s="16" t="n">
        <f aca="false">D278/I278</f>
        <v>8841.20305870358</v>
      </c>
      <c r="O278" s="14" t="n">
        <f aca="false">B278</f>
        <v>1628</v>
      </c>
      <c r="P278" s="16" t="n">
        <f aca="false">E278</f>
        <v>231137</v>
      </c>
      <c r="Q278" s="16" t="n">
        <f aca="false">F278</f>
        <v>214000</v>
      </c>
    </row>
    <row r="279" customFormat="false" ht="15" hidden="false" customHeight="false" outlineLevel="0" collapsed="false">
      <c r="A279" s="12" t="n">
        <v>44673</v>
      </c>
      <c r="B279" s="13" t="n">
        <v>1629</v>
      </c>
      <c r="C279" s="14" t="n">
        <f aca="false">MIN(52,INT((A279-DATE(YEAR(A279),1,1))/7)+1)</f>
        <v>16</v>
      </c>
      <c r="D279" s="15" t="n">
        <v>8739</v>
      </c>
      <c r="E279" s="15" t="n">
        <v>231137</v>
      </c>
      <c r="F279" s="15" t="n">
        <v>210000</v>
      </c>
      <c r="G279" s="16" t="n">
        <f aca="false">$M$3+$M$4*B279</f>
        <v>8936.26252461486</v>
      </c>
      <c r="H279" s="17" t="n">
        <f aca="false">D279/G279</f>
        <v>0.977925612181659</v>
      </c>
      <c r="I279" s="18" t="n">
        <f aca="false">INDEX('2 Seasonal Index'!$D$3:$D$54,C279)</f>
        <v>1.00209740802543</v>
      </c>
      <c r="J279" s="16" t="n">
        <f aca="false">D279/I279</f>
        <v>8720.70911471539</v>
      </c>
      <c r="O279" s="14" t="n">
        <f aca="false">B279</f>
        <v>1629</v>
      </c>
      <c r="P279" s="16" t="n">
        <f aca="false">E279</f>
        <v>231137</v>
      </c>
      <c r="Q279" s="16" t="n">
        <f aca="false">F279</f>
        <v>210000</v>
      </c>
    </row>
    <row r="280" customFormat="false" ht="15" hidden="false" customHeight="false" outlineLevel="0" collapsed="false">
      <c r="A280" s="12" t="n">
        <v>44680</v>
      </c>
      <c r="B280" s="13" t="n">
        <v>1630</v>
      </c>
      <c r="C280" s="14" t="n">
        <f aca="false">MIN(52,INT((A280-DATE(YEAR(A280),1,1))/7)+1)</f>
        <v>17</v>
      </c>
      <c r="D280" s="15" t="n">
        <v>8856</v>
      </c>
      <c r="E280" s="15" t="n">
        <v>231137</v>
      </c>
      <c r="F280" s="15" t="n">
        <v>209000</v>
      </c>
      <c r="G280" s="16" t="n">
        <f aca="false">$M$3+$M$4*B280</f>
        <v>8935.08984967654</v>
      </c>
      <c r="H280" s="17" t="n">
        <f aca="false">D280/G280</f>
        <v>0.991148399064012</v>
      </c>
      <c r="I280" s="18" t="n">
        <f aca="false">INDEX('2 Seasonal Index'!$D$3:$D$54,C280)</f>
        <v>0.985720009085136</v>
      </c>
      <c r="J280" s="16" t="n">
        <f aca="false">D280/I280</f>
        <v>8984.29566040706</v>
      </c>
      <c r="O280" s="14" t="n">
        <f aca="false">B280</f>
        <v>1630</v>
      </c>
      <c r="P280" s="16" t="n">
        <f aca="false">E280</f>
        <v>231137</v>
      </c>
      <c r="Q280" s="16" t="n">
        <f aca="false">F280</f>
        <v>209000</v>
      </c>
    </row>
    <row r="281" customFormat="false" ht="15" hidden="false" customHeight="false" outlineLevel="0" collapsed="false">
      <c r="A281" s="12" t="n">
        <v>44687</v>
      </c>
      <c r="B281" s="13" t="n">
        <v>1631</v>
      </c>
      <c r="C281" s="14" t="n">
        <f aca="false">MIN(52,INT((A281-DATE(YEAR(A281),1,1))/7)+1)</f>
        <v>18</v>
      </c>
      <c r="D281" s="15" t="n">
        <v>8702</v>
      </c>
      <c r="E281" s="15" t="n">
        <v>231137</v>
      </c>
      <c r="F281" s="15" t="n">
        <v>218000</v>
      </c>
      <c r="G281" s="16" t="n">
        <f aca="false">$M$3+$M$4*B281</f>
        <v>8933.91717473822</v>
      </c>
      <c r="H281" s="17" t="n">
        <f aca="false">D281/G281</f>
        <v>0.974040818802978</v>
      </c>
      <c r="I281" s="18" t="n">
        <f aca="false">INDEX('2 Seasonal Index'!$D$3:$D$54,C281)</f>
        <v>1.01814015000929</v>
      </c>
      <c r="J281" s="16" t="n">
        <f aca="false">D281/I281</f>
        <v>8546.95691935984</v>
      </c>
      <c r="O281" s="14" t="n">
        <f aca="false">B281</f>
        <v>1631</v>
      </c>
      <c r="P281" s="16" t="n">
        <f aca="false">E281</f>
        <v>231137</v>
      </c>
      <c r="Q281" s="16" t="n">
        <f aca="false">F281</f>
        <v>218000</v>
      </c>
    </row>
    <row r="282" customFormat="false" ht="15" hidden="false" customHeight="false" outlineLevel="0" collapsed="false">
      <c r="A282" s="12" t="n">
        <v>44694</v>
      </c>
      <c r="B282" s="13" t="n">
        <v>1632</v>
      </c>
      <c r="C282" s="14" t="n">
        <f aca="false">MIN(52,INT((A282-DATE(YEAR(A282),1,1))/7)+1)</f>
        <v>19</v>
      </c>
      <c r="D282" s="15" t="n">
        <v>9027</v>
      </c>
      <c r="E282" s="15" t="n">
        <v>231137</v>
      </c>
      <c r="F282" s="15" t="n">
        <v>204000</v>
      </c>
      <c r="G282" s="16" t="n">
        <f aca="false">$M$3+$M$4*B282</f>
        <v>8932.7444997999</v>
      </c>
      <c r="H282" s="17" t="n">
        <f aca="false">D282/G282</f>
        <v>1.01055168433422</v>
      </c>
      <c r="I282" s="18" t="n">
        <f aca="false">INDEX('2 Seasonal Index'!$D$3:$D$54,C282)</f>
        <v>1.01337123918897</v>
      </c>
      <c r="J282" s="16" t="n">
        <f aca="false">D282/I282</f>
        <v>8907.89046591119</v>
      </c>
      <c r="O282" s="14" t="n">
        <f aca="false">B282</f>
        <v>1632</v>
      </c>
      <c r="P282" s="16" t="n">
        <f aca="false">E282</f>
        <v>231137</v>
      </c>
      <c r="Q282" s="16" t="n">
        <f aca="false">F282</f>
        <v>204000</v>
      </c>
    </row>
    <row r="283" customFormat="false" ht="15" hidden="false" customHeight="false" outlineLevel="0" collapsed="false">
      <c r="A283" s="12" t="n">
        <v>44701</v>
      </c>
      <c r="B283" s="13" t="n">
        <v>1633</v>
      </c>
      <c r="C283" s="14" t="n">
        <f aca="false">MIN(52,INT((A283-DATE(YEAR(A283),1,1))/7)+1)</f>
        <v>20</v>
      </c>
      <c r="D283" s="15" t="n">
        <v>8798</v>
      </c>
      <c r="E283" s="15" t="n">
        <v>271869</v>
      </c>
      <c r="F283" s="15" t="n">
        <v>225000</v>
      </c>
      <c r="G283" s="16" t="n">
        <f aca="false">$M$3+$M$4*B283</f>
        <v>8931.57182486158</v>
      </c>
      <c r="H283" s="17" t="n">
        <f aca="false">D283/G283</f>
        <v>0.985044981165603</v>
      </c>
      <c r="I283" s="18" t="n">
        <f aca="false">INDEX('2 Seasonal Index'!$D$3:$D$54,C283)</f>
        <v>1.03551191118317</v>
      </c>
      <c r="J283" s="16" t="n">
        <f aca="false">D283/I283</f>
        <v>8496.28082978541</v>
      </c>
      <c r="O283" s="14" t="n">
        <f aca="false">B283</f>
        <v>1633</v>
      </c>
      <c r="P283" s="16" t="n">
        <f aca="false">E283</f>
        <v>271869</v>
      </c>
      <c r="Q283" s="16" t="n">
        <f aca="false">F283</f>
        <v>225000</v>
      </c>
    </row>
    <row r="284" customFormat="false" ht="15" hidden="false" customHeight="false" outlineLevel="0" collapsed="false">
      <c r="A284" s="12" t="n">
        <v>44708</v>
      </c>
      <c r="B284" s="13" t="n">
        <v>1634</v>
      </c>
      <c r="C284" s="14" t="n">
        <f aca="false">MIN(52,INT((A284-DATE(YEAR(A284),1,1))/7)+1)</f>
        <v>21</v>
      </c>
      <c r="D284" s="15" t="n">
        <v>8977</v>
      </c>
      <c r="E284" s="15" t="n">
        <v>271869</v>
      </c>
      <c r="F284" s="15" t="n">
        <v>211000</v>
      </c>
      <c r="G284" s="16" t="n">
        <f aca="false">$M$3+$M$4*B284</f>
        <v>8930.39914992326</v>
      </c>
      <c r="H284" s="17" t="n">
        <f aca="false">D284/G284</f>
        <v>1.00521822701252</v>
      </c>
      <c r="I284" s="18" t="n">
        <f aca="false">INDEX('2 Seasonal Index'!$D$3:$D$54,C284)</f>
        <v>1.0352245807811</v>
      </c>
      <c r="J284" s="16" t="n">
        <f aca="false">D284/I284</f>
        <v>8671.54834483031</v>
      </c>
      <c r="O284" s="14" t="n">
        <f aca="false">B284</f>
        <v>1634</v>
      </c>
      <c r="P284" s="16" t="n">
        <f aca="false">E284</f>
        <v>271869</v>
      </c>
      <c r="Q284" s="16" t="n">
        <f aca="false">F284</f>
        <v>211000</v>
      </c>
    </row>
    <row r="285" customFormat="false" ht="15" hidden="false" customHeight="false" outlineLevel="0" collapsed="false">
      <c r="A285" s="12" t="n">
        <v>44715</v>
      </c>
      <c r="B285" s="13" t="n">
        <v>1635</v>
      </c>
      <c r="C285" s="14" t="n">
        <f aca="false">MIN(52,INT((A285-DATE(YEAR(A285),1,1))/7)+1)</f>
        <v>22</v>
      </c>
      <c r="D285" s="15" t="n">
        <v>9199</v>
      </c>
      <c r="E285" s="15" t="n">
        <v>271869</v>
      </c>
      <c r="F285" s="15" t="n">
        <v>199000</v>
      </c>
      <c r="G285" s="16" t="n">
        <f aca="false">$M$3+$M$4*B285</f>
        <v>8929.22647498494</v>
      </c>
      <c r="H285" s="17" t="n">
        <f aca="false">D285/G285</f>
        <v>1.03021241826163</v>
      </c>
      <c r="I285" s="18" t="n">
        <f aca="false">INDEX('2 Seasonal Index'!$D$3:$D$54,C285)</f>
        <v>1.01397917017061</v>
      </c>
      <c r="J285" s="16" t="n">
        <f aca="false">D285/I285</f>
        <v>9072.17847330353</v>
      </c>
      <c r="O285" s="14" t="n">
        <f aca="false">B285</f>
        <v>1635</v>
      </c>
      <c r="P285" s="16" t="n">
        <f aca="false">E285</f>
        <v>271869</v>
      </c>
      <c r="Q285" s="16" t="n">
        <f aca="false">F285</f>
        <v>199000</v>
      </c>
    </row>
    <row r="286" customFormat="false" ht="15" hidden="false" customHeight="false" outlineLevel="0" collapsed="false">
      <c r="A286" s="12" t="n">
        <v>44722</v>
      </c>
      <c r="B286" s="13" t="n">
        <v>1636</v>
      </c>
      <c r="C286" s="14" t="n">
        <f aca="false">MIN(52,INT((A286-DATE(YEAR(A286),1,1))/7)+1)</f>
        <v>23</v>
      </c>
      <c r="D286" s="15" t="n">
        <v>9093</v>
      </c>
      <c r="E286" s="15" t="n">
        <v>271869</v>
      </c>
      <c r="F286" s="15" t="n">
        <v>213000</v>
      </c>
      <c r="G286" s="16" t="n">
        <f aca="false">$M$3+$M$4*B286</f>
        <v>8928.05380004662</v>
      </c>
      <c r="H286" s="17" t="n">
        <f aca="false">D286/G286</f>
        <v>1.01847504547436</v>
      </c>
      <c r="I286" s="18" t="n">
        <f aca="false">INDEX('2 Seasonal Index'!$D$3:$D$54,C286)</f>
        <v>1.03755973679196</v>
      </c>
      <c r="J286" s="16" t="n">
        <f aca="false">D286/I286</f>
        <v>8763.83274867116</v>
      </c>
      <c r="O286" s="14" t="n">
        <f aca="false">B286</f>
        <v>1636</v>
      </c>
      <c r="P286" s="16" t="n">
        <f aca="false">E286</f>
        <v>271869</v>
      </c>
      <c r="Q286" s="16" t="n">
        <f aca="false">F286</f>
        <v>213000</v>
      </c>
    </row>
    <row r="287" customFormat="false" ht="15" hidden="false" customHeight="false" outlineLevel="0" collapsed="false">
      <c r="A287" s="12" t="n">
        <v>44729</v>
      </c>
      <c r="B287" s="13" t="n">
        <v>1637</v>
      </c>
      <c r="C287" s="14" t="n">
        <f aca="false">MIN(52,INT((A287-DATE(YEAR(A287),1,1))/7)+1)</f>
        <v>24</v>
      </c>
      <c r="D287" s="15" t="n">
        <v>8505</v>
      </c>
      <c r="E287" s="15" t="n">
        <v>258001</v>
      </c>
      <c r="F287" s="15" t="n">
        <v>211000</v>
      </c>
      <c r="G287" s="16" t="n">
        <f aca="false">$M$3+$M$4*B287</f>
        <v>8926.8811251083</v>
      </c>
      <c r="H287" s="17" t="n">
        <f aca="false">D287/G287</f>
        <v>0.952740367078297</v>
      </c>
      <c r="I287" s="18" t="n">
        <f aca="false">INDEX('2 Seasonal Index'!$D$3:$D$54,C287)</f>
        <v>1.03445132468082</v>
      </c>
      <c r="J287" s="16" t="n">
        <f aca="false">D287/I287</f>
        <v>8221.74982725671</v>
      </c>
      <c r="O287" s="14" t="n">
        <f aca="false">B287</f>
        <v>1637</v>
      </c>
      <c r="P287" s="16" t="n">
        <f aca="false">E287</f>
        <v>258001</v>
      </c>
      <c r="Q287" s="16" t="n">
        <f aca="false">F287</f>
        <v>211000</v>
      </c>
    </row>
    <row r="288" customFormat="false" ht="15" hidden="false" customHeight="false" outlineLevel="0" collapsed="false">
      <c r="A288" s="12" t="n">
        <v>44736</v>
      </c>
      <c r="B288" s="13" t="n">
        <v>1638</v>
      </c>
      <c r="C288" s="14" t="n">
        <f aca="false">MIN(52,INT((A288-DATE(YEAR(A288),1,1))/7)+1)</f>
        <v>25</v>
      </c>
      <c r="D288" s="15" t="n">
        <v>8922</v>
      </c>
      <c r="E288" s="15" t="n">
        <v>258001</v>
      </c>
      <c r="F288" s="15" t="n">
        <v>214000</v>
      </c>
      <c r="G288" s="16" t="n">
        <f aca="false">$M$3+$M$4*B288</f>
        <v>8925.70845016999</v>
      </c>
      <c r="H288" s="17" t="n">
        <f aca="false">D288/G288</f>
        <v>0.999584520355926</v>
      </c>
      <c r="I288" s="18" t="n">
        <f aca="false">INDEX('2 Seasonal Index'!$D$3:$D$54,C288)</f>
        <v>1.03606069309931</v>
      </c>
      <c r="J288" s="16" t="n">
        <f aca="false">D288/I288</f>
        <v>8611.4646173</v>
      </c>
      <c r="O288" s="14" t="n">
        <f aca="false">B288</f>
        <v>1638</v>
      </c>
      <c r="P288" s="16" t="n">
        <f aca="false">E288</f>
        <v>258001</v>
      </c>
      <c r="Q288" s="16" t="n">
        <f aca="false">F288</f>
        <v>214000</v>
      </c>
    </row>
    <row r="289" customFormat="false" ht="15" hidden="false" customHeight="false" outlineLevel="0" collapsed="false">
      <c r="A289" s="12" t="n">
        <v>44743</v>
      </c>
      <c r="B289" s="13" t="n">
        <v>1639</v>
      </c>
      <c r="C289" s="14" t="n">
        <f aca="false">MIN(52,INT((A289-DATE(YEAR(A289),1,1))/7)+1)</f>
        <v>26</v>
      </c>
      <c r="D289" s="15" t="n">
        <v>9413</v>
      </c>
      <c r="E289" s="15" t="n">
        <v>258001</v>
      </c>
      <c r="F289" s="15" t="n">
        <v>212000</v>
      </c>
      <c r="G289" s="16" t="n">
        <f aca="false">$M$3+$M$4*B289</f>
        <v>8924.53577523167</v>
      </c>
      <c r="H289" s="17" t="n">
        <f aca="false">D289/G289</f>
        <v>1.05473273199531</v>
      </c>
      <c r="I289" s="18" t="n">
        <f aca="false">INDEX('2 Seasonal Index'!$D$3:$D$54,C289)</f>
        <v>1.05775104170879</v>
      </c>
      <c r="J289" s="16" t="n">
        <f aca="false">D289/I289</f>
        <v>8899.06946798496</v>
      </c>
      <c r="O289" s="14" t="n">
        <f aca="false">B289</f>
        <v>1639</v>
      </c>
      <c r="P289" s="16" t="n">
        <f aca="false">E289</f>
        <v>258001</v>
      </c>
      <c r="Q289" s="16" t="n">
        <f aca="false">F289</f>
        <v>212000</v>
      </c>
    </row>
    <row r="290" customFormat="false" ht="15" hidden="false" customHeight="false" outlineLevel="0" collapsed="false">
      <c r="A290" s="12" t="n">
        <v>44750</v>
      </c>
      <c r="B290" s="13" t="n">
        <v>1640</v>
      </c>
      <c r="C290" s="14" t="n">
        <f aca="false">MIN(52,INT((A290-DATE(YEAR(A290),1,1))/7)+1)</f>
        <v>27</v>
      </c>
      <c r="D290" s="15" t="n">
        <v>8062</v>
      </c>
      <c r="E290" s="15" t="n">
        <v>258001</v>
      </c>
      <c r="F290" s="15" t="n">
        <v>214000</v>
      </c>
      <c r="G290" s="16" t="n">
        <f aca="false">$M$3+$M$4*B290</f>
        <v>8923.36310029335</v>
      </c>
      <c r="H290" s="17" t="n">
        <f aca="false">D290/G290</f>
        <v>0.903471024252613</v>
      </c>
      <c r="I290" s="18" t="n">
        <f aca="false">INDEX('2 Seasonal Index'!$D$3:$D$54,C290)</f>
        <v>1.02126188503389</v>
      </c>
      <c r="J290" s="16" t="n">
        <f aca="false">D290/I290</f>
        <v>7894.15537595677</v>
      </c>
      <c r="O290" s="14" t="n">
        <f aca="false">B290</f>
        <v>1640</v>
      </c>
      <c r="P290" s="16" t="n">
        <f aca="false">E290</f>
        <v>258001</v>
      </c>
      <c r="Q290" s="16" t="n">
        <f aca="false">F290</f>
        <v>214000</v>
      </c>
    </row>
    <row r="291" customFormat="false" ht="15" hidden="false" customHeight="false" outlineLevel="0" collapsed="false">
      <c r="A291" s="12" t="n">
        <v>44757</v>
      </c>
      <c r="B291" s="13" t="n">
        <v>1641</v>
      </c>
      <c r="C291" s="14" t="n">
        <f aca="false">MIN(52,INT((A291-DATE(YEAR(A291),1,1))/7)+1)</f>
        <v>28</v>
      </c>
      <c r="D291" s="15" t="n">
        <v>8521</v>
      </c>
      <c r="E291" s="15" t="n">
        <v>258001</v>
      </c>
      <c r="F291" s="15" t="n">
        <v>212000</v>
      </c>
      <c r="G291" s="16" t="n">
        <f aca="false">$M$3+$M$4*B291</f>
        <v>8922.19042535503</v>
      </c>
      <c r="H291" s="17" t="n">
        <f aca="false">D291/G291</f>
        <v>0.955034536786513</v>
      </c>
      <c r="I291" s="18" t="n">
        <f aca="false">INDEX('2 Seasonal Index'!$D$3:$D$54,C291)</f>
        <v>1.01350902481598</v>
      </c>
      <c r="J291" s="16" t="n">
        <f aca="false">D291/I291</f>
        <v>8407.42390187116</v>
      </c>
      <c r="O291" s="14" t="n">
        <f aca="false">B291</f>
        <v>1641</v>
      </c>
      <c r="P291" s="16" t="n">
        <f aca="false">E291</f>
        <v>258001</v>
      </c>
      <c r="Q291" s="16" t="n">
        <f aca="false">F291</f>
        <v>212000</v>
      </c>
    </row>
    <row r="292" customFormat="false" ht="15" hidden="false" customHeight="false" outlineLevel="0" collapsed="false">
      <c r="A292" s="12" t="n">
        <v>44764</v>
      </c>
      <c r="B292" s="13" t="n">
        <v>1642</v>
      </c>
      <c r="C292" s="14" t="n">
        <f aca="false">MIN(52,INT((A292-DATE(YEAR(A292),1,1))/7)+1)</f>
        <v>29</v>
      </c>
      <c r="D292" s="15" t="n">
        <v>9245</v>
      </c>
      <c r="E292" s="15" t="n">
        <v>282678</v>
      </c>
      <c r="F292" s="15" t="n">
        <v>216000</v>
      </c>
      <c r="G292" s="16" t="n">
        <f aca="false">$M$3+$M$4*B292</f>
        <v>8921.01775041671</v>
      </c>
      <c r="H292" s="17" t="n">
        <f aca="false">D292/G292</f>
        <v>1.03631673634638</v>
      </c>
      <c r="I292" s="18" t="n">
        <f aca="false">INDEX('2 Seasonal Index'!$D$3:$D$54,C292)</f>
        <v>1.05195667886475</v>
      </c>
      <c r="J292" s="16" t="n">
        <f aca="false">D292/I292</f>
        <v>8788.38471749329</v>
      </c>
      <c r="O292" s="14" t="n">
        <f aca="false">B292</f>
        <v>1642</v>
      </c>
      <c r="P292" s="16" t="n">
        <f aca="false">E292</f>
        <v>282678</v>
      </c>
      <c r="Q292" s="16" t="n">
        <f aca="false">F292</f>
        <v>216000</v>
      </c>
    </row>
    <row r="293" customFormat="false" ht="15" hidden="false" customHeight="false" outlineLevel="0" collapsed="false">
      <c r="A293" s="12" t="n">
        <v>44771</v>
      </c>
      <c r="B293" s="13" t="n">
        <v>1643</v>
      </c>
      <c r="C293" s="14" t="n">
        <f aca="false">MIN(52,INT((A293-DATE(YEAR(A293),1,1))/7)+1)</f>
        <v>30</v>
      </c>
      <c r="D293" s="15" t="n">
        <v>8541</v>
      </c>
      <c r="E293" s="15" t="n">
        <v>282678</v>
      </c>
      <c r="F293" s="15" t="n">
        <v>221000</v>
      </c>
      <c r="G293" s="16" t="n">
        <f aca="false">$M$3+$M$4*B293</f>
        <v>8919.84507547839</v>
      </c>
      <c r="H293" s="17" t="n">
        <f aca="false">D293/G293</f>
        <v>0.957527841316451</v>
      </c>
      <c r="I293" s="18" t="n">
        <f aca="false">INDEX('2 Seasonal Index'!$D$3:$D$54,C293)</f>
        <v>1.03171304153628</v>
      </c>
      <c r="J293" s="16" t="n">
        <f aca="false">D293/I293</f>
        <v>8278.46470495514</v>
      </c>
      <c r="O293" s="14" t="n">
        <f aca="false">B293</f>
        <v>1643</v>
      </c>
      <c r="P293" s="16" t="n">
        <f aca="false">E293</f>
        <v>282678</v>
      </c>
      <c r="Q293" s="16" t="n">
        <f aca="false">F293</f>
        <v>221000</v>
      </c>
    </row>
    <row r="294" customFormat="false" ht="15" hidden="false" customHeight="false" outlineLevel="0" collapsed="false">
      <c r="A294" s="12" t="n">
        <v>44778</v>
      </c>
      <c r="B294" s="13" t="n">
        <v>1644</v>
      </c>
      <c r="C294" s="14" t="n">
        <f aca="false">MIN(52,INT((A294-DATE(YEAR(A294),1,1))/7)+1)</f>
        <v>31</v>
      </c>
      <c r="D294" s="15" t="n">
        <v>9123</v>
      </c>
      <c r="E294" s="15" t="n">
        <v>282678</v>
      </c>
      <c r="F294" s="15" t="n">
        <v>228000</v>
      </c>
      <c r="G294" s="16" t="n">
        <f aca="false">$M$3+$M$4*B294</f>
        <v>8918.67240054007</v>
      </c>
      <c r="H294" s="17" t="n">
        <f aca="false">D294/G294</f>
        <v>1.0229100913548</v>
      </c>
      <c r="I294" s="18" t="n">
        <f aca="false">INDEX('2 Seasonal Index'!$D$3:$D$54,C294)</f>
        <v>1.03997322006122</v>
      </c>
      <c r="J294" s="16" t="n">
        <f aca="false">D294/I294</f>
        <v>8772.34127188676</v>
      </c>
      <c r="O294" s="14" t="n">
        <f aca="false">B294</f>
        <v>1644</v>
      </c>
      <c r="P294" s="16" t="n">
        <f aca="false">E294</f>
        <v>282678</v>
      </c>
      <c r="Q294" s="16" t="n">
        <f aca="false">F294</f>
        <v>228000</v>
      </c>
    </row>
    <row r="295" customFormat="false" ht="15" hidden="false" customHeight="false" outlineLevel="0" collapsed="false">
      <c r="A295" s="12" t="n">
        <v>44785</v>
      </c>
      <c r="B295" s="13" t="n">
        <v>1645</v>
      </c>
      <c r="C295" s="14" t="n">
        <f aca="false">MIN(52,INT((A295-DATE(YEAR(A295),1,1))/7)+1)</f>
        <v>32</v>
      </c>
      <c r="D295" s="15" t="n">
        <v>9348</v>
      </c>
      <c r="E295" s="15" t="n">
        <v>282678</v>
      </c>
      <c r="F295" s="15" t="n">
        <v>221000</v>
      </c>
      <c r="G295" s="16" t="n">
        <f aca="false">$M$3+$M$4*B295</f>
        <v>8917.49972560175</v>
      </c>
      <c r="H295" s="17" t="n">
        <f aca="false">D295/G295</f>
        <v>1.04827589432521</v>
      </c>
      <c r="I295" s="18" t="n">
        <f aca="false">INDEX('2 Seasonal Index'!$D$3:$D$54,C295)</f>
        <v>1.04061693174176</v>
      </c>
      <c r="J295" s="16" t="n">
        <f aca="false">D295/I295</f>
        <v>8983.13271181698</v>
      </c>
      <c r="O295" s="14" t="n">
        <f aca="false">B295</f>
        <v>1645</v>
      </c>
      <c r="P295" s="16" t="n">
        <f aca="false">E295</f>
        <v>282678</v>
      </c>
      <c r="Q295" s="16" t="n">
        <f aca="false">F295</f>
        <v>221000</v>
      </c>
    </row>
    <row r="296" customFormat="false" ht="15" hidden="false" customHeight="false" outlineLevel="0" collapsed="false">
      <c r="A296" s="12" t="n">
        <v>44792</v>
      </c>
      <c r="B296" s="13" t="n">
        <v>1646</v>
      </c>
      <c r="C296" s="14" t="n">
        <f aca="false">MIN(52,INT((A296-DATE(YEAR(A296),1,1))/7)+1)</f>
        <v>33</v>
      </c>
      <c r="D296" s="15" t="n">
        <v>8434</v>
      </c>
      <c r="E296" s="15" t="n">
        <v>277059</v>
      </c>
      <c r="F296" s="15" t="n">
        <v>220000</v>
      </c>
      <c r="G296" s="16" t="n">
        <f aca="false">$M$3+$M$4*B296</f>
        <v>8916.32705066343</v>
      </c>
      <c r="H296" s="17" t="n">
        <f aca="false">D296/G296</f>
        <v>0.945905186303418</v>
      </c>
      <c r="I296" s="18" t="n">
        <f aca="false">INDEX('2 Seasonal Index'!$D$3:$D$54,C296)</f>
        <v>1.02747806583438</v>
      </c>
      <c r="J296" s="16" t="n">
        <f aca="false">D296/I296</f>
        <v>8208.44773280006</v>
      </c>
      <c r="O296" s="14" t="n">
        <f aca="false">B296</f>
        <v>1646</v>
      </c>
      <c r="P296" s="16" t="n">
        <f aca="false">E296</f>
        <v>277059</v>
      </c>
      <c r="Q296" s="16" t="n">
        <f aca="false">F296</f>
        <v>220000</v>
      </c>
    </row>
    <row r="297" customFormat="false" ht="15" hidden="false" customHeight="false" outlineLevel="0" collapsed="false">
      <c r="A297" s="12" t="n">
        <v>44799</v>
      </c>
      <c r="B297" s="13" t="n">
        <v>1647</v>
      </c>
      <c r="C297" s="14" t="n">
        <f aca="false">MIN(52,INT((A297-DATE(YEAR(A297),1,1))/7)+1)</f>
        <v>34</v>
      </c>
      <c r="D297" s="15" t="n">
        <v>8591</v>
      </c>
      <c r="E297" s="15" t="n">
        <v>277059</v>
      </c>
      <c r="F297" s="15" t="n">
        <v>215000</v>
      </c>
      <c r="G297" s="16" t="n">
        <f aca="false">$M$3+$M$4*B297</f>
        <v>8915.15437572511</v>
      </c>
      <c r="H297" s="17" t="n">
        <f aca="false">D297/G297</f>
        <v>0.963640071493574</v>
      </c>
      <c r="I297" s="18" t="n">
        <f aca="false">INDEX('2 Seasonal Index'!$D$3:$D$54,C297)</f>
        <v>1.03816398467415</v>
      </c>
      <c r="J297" s="16" t="n">
        <f aca="false">D297/I297</f>
        <v>8275.18593095531</v>
      </c>
      <c r="O297" s="14" t="n">
        <f aca="false">B297</f>
        <v>1647</v>
      </c>
      <c r="P297" s="16" t="n">
        <f aca="false">E297</f>
        <v>277059</v>
      </c>
      <c r="Q297" s="16" t="n">
        <f aca="false">F297</f>
        <v>215000</v>
      </c>
    </row>
    <row r="298" customFormat="false" ht="15" hidden="false" customHeight="false" outlineLevel="0" collapsed="false">
      <c r="A298" s="12" t="n">
        <v>44806</v>
      </c>
      <c r="B298" s="13" t="n">
        <v>1648</v>
      </c>
      <c r="C298" s="14" t="n">
        <f aca="false">MIN(52,INT((A298-DATE(YEAR(A298),1,1))/7)+1)</f>
        <v>35</v>
      </c>
      <c r="D298" s="15" t="n">
        <v>8727</v>
      </c>
      <c r="E298" s="15" t="n">
        <v>277059</v>
      </c>
      <c r="F298" s="15" t="n">
        <v>210000</v>
      </c>
      <c r="G298" s="16" t="n">
        <f aca="false">$M$3+$M$4*B298</f>
        <v>8913.9817007868</v>
      </c>
      <c r="H298" s="17" t="n">
        <f aca="false">D298/G298</f>
        <v>0.97902377331891</v>
      </c>
      <c r="I298" s="18" t="n">
        <f aca="false">INDEX('2 Seasonal Index'!$D$3:$D$54,C298)</f>
        <v>1.02246595866814</v>
      </c>
      <c r="J298" s="16" t="n">
        <f aca="false">D298/I298</f>
        <v>8535.24748282843</v>
      </c>
      <c r="O298" s="14" t="n">
        <f aca="false">B298</f>
        <v>1648</v>
      </c>
      <c r="P298" s="16" t="n">
        <f aca="false">E298</f>
        <v>277059</v>
      </c>
      <c r="Q298" s="16" t="n">
        <f aca="false">F298</f>
        <v>210000</v>
      </c>
    </row>
    <row r="299" customFormat="false" ht="15" hidden="false" customHeight="false" outlineLevel="0" collapsed="false">
      <c r="A299" s="12" t="n">
        <v>44813</v>
      </c>
      <c r="B299" s="13" t="n">
        <v>1649</v>
      </c>
      <c r="C299" s="14" t="n">
        <f aca="false">MIN(52,INT((A299-DATE(YEAR(A299),1,1))/7)+1)</f>
        <v>36</v>
      </c>
      <c r="D299" s="15" t="n">
        <v>8494</v>
      </c>
      <c r="E299" s="15" t="n">
        <v>277059</v>
      </c>
      <c r="F299" s="15" t="n">
        <v>203000</v>
      </c>
      <c r="G299" s="16" t="n">
        <f aca="false">$M$3+$M$4*B299</f>
        <v>8912.80902584848</v>
      </c>
      <c r="H299" s="17" t="n">
        <f aca="false">D299/G299</f>
        <v>0.953010434237526</v>
      </c>
      <c r="I299" s="18" t="n">
        <f aca="false">INDEX('2 Seasonal Index'!$D$3:$D$54,C299)</f>
        <v>1.00361083828068</v>
      </c>
      <c r="J299" s="16" t="n">
        <f aca="false">D299/I299</f>
        <v>8463.43988726886</v>
      </c>
      <c r="O299" s="14" t="n">
        <f aca="false">B299</f>
        <v>1649</v>
      </c>
      <c r="P299" s="16" t="n">
        <f aca="false">E299</f>
        <v>277059</v>
      </c>
      <c r="Q299" s="16" t="n">
        <f aca="false">F299</f>
        <v>203000</v>
      </c>
    </row>
    <row r="300" customFormat="false" ht="15" hidden="false" customHeight="false" outlineLevel="0" collapsed="false">
      <c r="A300" s="12" t="n">
        <v>44820</v>
      </c>
      <c r="B300" s="13" t="n">
        <v>1650</v>
      </c>
      <c r="C300" s="14" t="n">
        <f aca="false">MIN(52,INT((A300-DATE(YEAR(A300),1,1))/7)+1)</f>
        <v>37</v>
      </c>
      <c r="D300" s="15" t="n">
        <v>8322</v>
      </c>
      <c r="E300" s="15" t="n">
        <v>281976</v>
      </c>
      <c r="F300" s="15" t="n">
        <v>195000</v>
      </c>
      <c r="G300" s="16" t="n">
        <f aca="false">$M$3+$M$4*B300</f>
        <v>8911.63635091016</v>
      </c>
      <c r="H300" s="17" t="n">
        <f aca="false">D300/G300</f>
        <v>0.933835232083956</v>
      </c>
      <c r="I300" s="18" t="n">
        <f aca="false">INDEX('2 Seasonal Index'!$D$3:$D$54,C300)</f>
        <v>0.988109440121203</v>
      </c>
      <c r="J300" s="16" t="n">
        <f aca="false">D300/I300</f>
        <v>8422.14400763058</v>
      </c>
      <c r="O300" s="14" t="n">
        <f aca="false">B300</f>
        <v>1650</v>
      </c>
      <c r="P300" s="16" t="n">
        <f aca="false">E300</f>
        <v>281976</v>
      </c>
      <c r="Q300" s="16" t="n">
        <f aca="false">F300</f>
        <v>195000</v>
      </c>
    </row>
    <row r="301" customFormat="false" ht="15" hidden="false" customHeight="false" outlineLevel="0" collapsed="false">
      <c r="A301" s="12" t="n">
        <v>44827</v>
      </c>
      <c r="B301" s="13" t="n">
        <v>1651</v>
      </c>
      <c r="C301" s="14" t="n">
        <f aca="false">MIN(52,INT((A301-DATE(YEAR(A301),1,1))/7)+1)</f>
        <v>38</v>
      </c>
      <c r="D301" s="15" t="n">
        <v>8825</v>
      </c>
      <c r="E301" s="15" t="n">
        <v>281976</v>
      </c>
      <c r="F301" s="15" t="n">
        <v>202000</v>
      </c>
      <c r="G301" s="16" t="n">
        <f aca="false">$M$3+$M$4*B301</f>
        <v>8910.46367597184</v>
      </c>
      <c r="H301" s="17" t="n">
        <f aca="false">D301/G301</f>
        <v>0.990408616310024</v>
      </c>
      <c r="I301" s="18" t="n">
        <f aca="false">INDEX('2 Seasonal Index'!$D$3:$D$54,C301)</f>
        <v>1.00996081852754</v>
      </c>
      <c r="J301" s="16" t="n">
        <f aca="false">D301/I301</f>
        <v>8737.96273885787</v>
      </c>
      <c r="O301" s="14" t="n">
        <f aca="false">B301</f>
        <v>1651</v>
      </c>
      <c r="P301" s="16" t="n">
        <f aca="false">E301</f>
        <v>281976</v>
      </c>
      <c r="Q301" s="16" t="n">
        <f aca="false">F301</f>
        <v>202000</v>
      </c>
    </row>
    <row r="302" customFormat="false" ht="15" hidden="false" customHeight="false" outlineLevel="0" collapsed="false">
      <c r="A302" s="12" t="n">
        <v>44834</v>
      </c>
      <c r="B302" s="13" t="n">
        <v>1652</v>
      </c>
      <c r="C302" s="14" t="n">
        <f aca="false">MIN(52,INT((A302-DATE(YEAR(A302),1,1))/7)+1)</f>
        <v>39</v>
      </c>
      <c r="D302" s="15" t="n">
        <v>9465</v>
      </c>
      <c r="E302" s="15" t="n">
        <v>281976</v>
      </c>
      <c r="F302" s="15" t="n">
        <v>190000</v>
      </c>
      <c r="G302" s="16" t="n">
        <f aca="false">$M$3+$M$4*B302</f>
        <v>8909.29100103352</v>
      </c>
      <c r="H302" s="17" t="n">
        <f aca="false">D302/G302</f>
        <v>1.06237409900541</v>
      </c>
      <c r="I302" s="18" t="n">
        <f aca="false">INDEX('2 Seasonal Index'!$D$3:$D$54,C302)</f>
        <v>0.982712197281613</v>
      </c>
      <c r="J302" s="16" t="n">
        <f aca="false">D302/I302</f>
        <v>9631.50760332696</v>
      </c>
      <c r="O302" s="14" t="n">
        <f aca="false">B302</f>
        <v>1652</v>
      </c>
      <c r="P302" s="16" t="n">
        <f aca="false">E302</f>
        <v>281976</v>
      </c>
      <c r="Q302" s="16" t="n">
        <f aca="false">F302</f>
        <v>190000</v>
      </c>
    </row>
    <row r="303" customFormat="false" ht="15" hidden="false" customHeight="false" outlineLevel="0" collapsed="false">
      <c r="A303" s="12" t="n">
        <v>44841</v>
      </c>
      <c r="B303" s="13" t="n">
        <v>1653</v>
      </c>
      <c r="C303" s="14" t="n">
        <f aca="false">MIN(52,INT((A303-DATE(YEAR(A303),1,1))/7)+1)</f>
        <v>40</v>
      </c>
      <c r="D303" s="15" t="n">
        <v>8276</v>
      </c>
      <c r="E303" s="15" t="n">
        <v>281976</v>
      </c>
      <c r="F303" s="15" t="n">
        <v>203000</v>
      </c>
      <c r="G303" s="16" t="n">
        <f aca="false">$M$3+$M$4*B303</f>
        <v>8908.1183260952</v>
      </c>
      <c r="H303" s="17" t="n">
        <f aca="false">D303/G303</f>
        <v>0.929040196486447</v>
      </c>
      <c r="I303" s="18" t="n">
        <f aca="false">INDEX('2 Seasonal Index'!$D$3:$D$54,C303)</f>
        <v>1.0036663428041</v>
      </c>
      <c r="J303" s="16" t="n">
        <f aca="false">D303/I303</f>
        <v>8245.76818714282</v>
      </c>
      <c r="O303" s="14" t="n">
        <f aca="false">B303</f>
        <v>1653</v>
      </c>
      <c r="P303" s="16" t="n">
        <f aca="false">E303</f>
        <v>281976</v>
      </c>
      <c r="Q303" s="16" t="n">
        <f aca="false">F303</f>
        <v>203000</v>
      </c>
    </row>
    <row r="304" customFormat="false" ht="15" hidden="false" customHeight="false" outlineLevel="0" collapsed="false">
      <c r="A304" s="12" t="n">
        <v>44848</v>
      </c>
      <c r="B304" s="13" t="n">
        <v>1654</v>
      </c>
      <c r="C304" s="14" t="n">
        <f aca="false">MIN(52,INT((A304-DATE(YEAR(A304),1,1))/7)+1)</f>
        <v>41</v>
      </c>
      <c r="D304" s="15" t="n">
        <v>8678</v>
      </c>
      <c r="E304" s="15" t="n">
        <v>281976</v>
      </c>
      <c r="F304" s="15" t="n">
        <v>207000</v>
      </c>
      <c r="G304" s="16" t="n">
        <f aca="false">$M$3+$M$4*B304</f>
        <v>8906.94565115688</v>
      </c>
      <c r="H304" s="17" t="n">
        <f aca="false">D304/G304</f>
        <v>0.974295829330996</v>
      </c>
      <c r="I304" s="18" t="n">
        <f aca="false">INDEX('2 Seasonal Index'!$D$3:$D$54,C304)</f>
        <v>0.995835782550445</v>
      </c>
      <c r="J304" s="16" t="n">
        <f aca="false">D304/I304</f>
        <v>8714.28819094518</v>
      </c>
      <c r="O304" s="14" t="n">
        <f aca="false">B304</f>
        <v>1654</v>
      </c>
      <c r="P304" s="16" t="n">
        <f aca="false">E304</f>
        <v>281976</v>
      </c>
      <c r="Q304" s="16" t="n">
        <f aca="false">F304</f>
        <v>207000</v>
      </c>
    </row>
    <row r="305" customFormat="false" ht="15" hidden="false" customHeight="false" outlineLevel="0" collapsed="false">
      <c r="A305" s="12" t="n">
        <v>44855</v>
      </c>
      <c r="B305" s="13" t="n">
        <v>1655</v>
      </c>
      <c r="C305" s="14" t="n">
        <f aca="false">MIN(52,INT((A305-DATE(YEAR(A305),1,1))/7)+1)</f>
        <v>42</v>
      </c>
      <c r="D305" s="15" t="n">
        <v>8930</v>
      </c>
      <c r="E305" s="15" t="n">
        <v>284347</v>
      </c>
      <c r="F305" s="15" t="n">
        <v>199000</v>
      </c>
      <c r="G305" s="16" t="n">
        <f aca="false">$M$3+$M$4*B305</f>
        <v>8905.77297621856</v>
      </c>
      <c r="H305" s="17" t="n">
        <f aca="false">D305/G305</f>
        <v>1.00272037293631</v>
      </c>
      <c r="I305" s="18" t="n">
        <f aca="false">INDEX('2 Seasonal Index'!$D$3:$D$54,C305)</f>
        <v>1.00307364557144</v>
      </c>
      <c r="J305" s="16" t="n">
        <f aca="false">D305/I305</f>
        <v>8902.63645089852</v>
      </c>
      <c r="O305" s="14" t="n">
        <f aca="false">B305</f>
        <v>1655</v>
      </c>
      <c r="P305" s="16" t="n">
        <f aca="false">E305</f>
        <v>284347</v>
      </c>
      <c r="Q305" s="16" t="n">
        <f aca="false">F305</f>
        <v>199000</v>
      </c>
    </row>
    <row r="306" customFormat="false" ht="15" hidden="false" customHeight="false" outlineLevel="0" collapsed="false">
      <c r="A306" s="12" t="n">
        <v>44862</v>
      </c>
      <c r="B306" s="13" t="n">
        <v>1656</v>
      </c>
      <c r="C306" s="14" t="n">
        <f aca="false">MIN(52,INT((A306-DATE(YEAR(A306),1,1))/7)+1)</f>
        <v>43</v>
      </c>
      <c r="D306" s="15" t="n">
        <v>8660</v>
      </c>
      <c r="E306" s="15" t="n">
        <v>284347</v>
      </c>
      <c r="F306" s="15" t="n">
        <v>202000</v>
      </c>
      <c r="G306" s="16" t="n">
        <f aca="false">$M$3+$M$4*B306</f>
        <v>8904.60030128024</v>
      </c>
      <c r="H306" s="17" t="n">
        <f aca="false">D306/G306</f>
        <v>0.972531018461876</v>
      </c>
      <c r="I306" s="18" t="n">
        <f aca="false">INDEX('2 Seasonal Index'!$D$3:$D$54,C306)</f>
        <v>1.01224087755293</v>
      </c>
      <c r="J306" s="16" t="n">
        <f aca="false">D306/I306</f>
        <v>8555.2759150918</v>
      </c>
      <c r="O306" s="14" t="n">
        <f aca="false">B306</f>
        <v>1656</v>
      </c>
      <c r="P306" s="16" t="n">
        <f aca="false">E306</f>
        <v>284347</v>
      </c>
      <c r="Q306" s="16" t="n">
        <f aca="false">F306</f>
        <v>202000</v>
      </c>
    </row>
    <row r="307" customFormat="false" ht="15" hidden="false" customHeight="false" outlineLevel="0" collapsed="false">
      <c r="A307" s="12" t="n">
        <v>44869</v>
      </c>
      <c r="B307" s="13" t="n">
        <v>1657</v>
      </c>
      <c r="C307" s="14" t="n">
        <f aca="false">MIN(52,INT((A307-DATE(YEAR(A307),1,1))/7)+1)</f>
        <v>44</v>
      </c>
      <c r="D307" s="15" t="n">
        <v>9011</v>
      </c>
      <c r="E307" s="15" t="n">
        <v>284347</v>
      </c>
      <c r="F307" s="15" t="n">
        <v>202000</v>
      </c>
      <c r="G307" s="16" t="n">
        <f aca="false">$M$3+$M$4*B307</f>
        <v>8903.42762634192</v>
      </c>
      <c r="H307" s="17" t="n">
        <f aca="false">D307/G307</f>
        <v>1.01208213040782</v>
      </c>
      <c r="I307" s="18" t="n">
        <f aca="false">INDEX('2 Seasonal Index'!$D$3:$D$54,C307)</f>
        <v>1.01203159220993</v>
      </c>
      <c r="J307" s="16" t="n">
        <f aca="false">D307/I307</f>
        <v>8903.87224011757</v>
      </c>
      <c r="O307" s="14" t="n">
        <f aca="false">B307</f>
        <v>1657</v>
      </c>
      <c r="P307" s="16" t="n">
        <f aca="false">E307</f>
        <v>284347</v>
      </c>
      <c r="Q307" s="16" t="n">
        <f aca="false">F307</f>
        <v>202000</v>
      </c>
    </row>
    <row r="308" customFormat="false" ht="15" hidden="false" customHeight="false" outlineLevel="0" collapsed="false">
      <c r="A308" s="12" t="n">
        <v>44876</v>
      </c>
      <c r="B308" s="13" t="n">
        <v>1658</v>
      </c>
      <c r="C308" s="14" t="n">
        <f aca="false">MIN(52,INT((A308-DATE(YEAR(A308),1,1))/7)+1)</f>
        <v>45</v>
      </c>
      <c r="D308" s="15" t="n">
        <v>8742</v>
      </c>
      <c r="E308" s="15" t="n">
        <v>284347</v>
      </c>
      <c r="F308" s="15" t="n">
        <v>204000</v>
      </c>
      <c r="G308" s="16" t="n">
        <f aca="false">$M$3+$M$4*B308</f>
        <v>8902.2549514036</v>
      </c>
      <c r="H308" s="17" t="n">
        <f aca="false">D308/G308</f>
        <v>0.981998386669623</v>
      </c>
      <c r="I308" s="18" t="n">
        <f aca="false">INDEX('2 Seasonal Index'!$D$3:$D$54,C308)</f>
        <v>1.01104078083898</v>
      </c>
      <c r="J308" s="16" t="n">
        <f aca="false">D308/I308</f>
        <v>8646.535496566</v>
      </c>
      <c r="O308" s="14" t="n">
        <f aca="false">B308</f>
        <v>1658</v>
      </c>
      <c r="P308" s="16" t="n">
        <f aca="false">E308</f>
        <v>284347</v>
      </c>
      <c r="Q308" s="16" t="n">
        <f aca="false">F308</f>
        <v>204000</v>
      </c>
    </row>
    <row r="309" customFormat="false" ht="15" hidden="false" customHeight="false" outlineLevel="0" collapsed="false">
      <c r="A309" s="12" t="n">
        <v>44883</v>
      </c>
      <c r="B309" s="13" t="n">
        <v>1659</v>
      </c>
      <c r="C309" s="14" t="n">
        <f aca="false">MIN(52,INT((A309-DATE(YEAR(A309),1,1))/7)+1)</f>
        <v>46</v>
      </c>
      <c r="D309" s="15" t="n">
        <v>8327</v>
      </c>
      <c r="E309" s="15" t="n">
        <v>275638</v>
      </c>
      <c r="F309" s="15" t="n">
        <v>210000</v>
      </c>
      <c r="G309" s="16" t="n">
        <f aca="false">$M$3+$M$4*B309</f>
        <v>8901.08227646529</v>
      </c>
      <c r="H309" s="17" t="n">
        <f aca="false">D309/G309</f>
        <v>0.935504216382408</v>
      </c>
      <c r="I309" s="18" t="n">
        <f aca="false">INDEX('2 Seasonal Index'!$D$3:$D$54,C309)</f>
        <v>0.986356106092814</v>
      </c>
      <c r="J309" s="16" t="n">
        <f aca="false">D309/I309</f>
        <v>8442.18426647673</v>
      </c>
      <c r="O309" s="14" t="n">
        <f aca="false">B309</f>
        <v>1659</v>
      </c>
      <c r="P309" s="16" t="n">
        <f aca="false">E309</f>
        <v>275638</v>
      </c>
      <c r="Q309" s="16" t="n">
        <f aca="false">F309</f>
        <v>210000</v>
      </c>
    </row>
    <row r="310" customFormat="false" ht="15" hidden="false" customHeight="false" outlineLevel="0" collapsed="false">
      <c r="A310" s="12" t="n">
        <v>44890</v>
      </c>
      <c r="B310" s="13" t="n">
        <v>1660</v>
      </c>
      <c r="C310" s="14" t="n">
        <f aca="false">MIN(52,INT((A310-DATE(YEAR(A310),1,1))/7)+1)</f>
        <v>47</v>
      </c>
      <c r="D310" s="15" t="n">
        <v>8317</v>
      </c>
      <c r="E310" s="15" t="n">
        <v>275638</v>
      </c>
      <c r="F310" s="15" t="n">
        <v>220000</v>
      </c>
      <c r="G310" s="16" t="n">
        <f aca="false">$M$3+$M$4*B310</f>
        <v>8899.90960152697</v>
      </c>
      <c r="H310" s="17" t="n">
        <f aca="false">D310/G310</f>
        <v>0.934503873901488</v>
      </c>
      <c r="I310" s="18" t="n">
        <f aca="false">INDEX('2 Seasonal Index'!$D$3:$D$54,C310)</f>
        <v>0.965789408729148</v>
      </c>
      <c r="J310" s="16" t="n">
        <f aca="false">D310/I310</f>
        <v>8611.60820860946</v>
      </c>
      <c r="O310" s="14" t="n">
        <f aca="false">B310</f>
        <v>1660</v>
      </c>
      <c r="P310" s="16" t="n">
        <f aca="false">E310</f>
        <v>275638</v>
      </c>
      <c r="Q310" s="16" t="n">
        <f aca="false">F310</f>
        <v>220000</v>
      </c>
    </row>
    <row r="311" customFormat="false" ht="15" hidden="false" customHeight="false" outlineLevel="0" collapsed="false">
      <c r="A311" s="12" t="n">
        <v>44897</v>
      </c>
      <c r="B311" s="13" t="n">
        <v>1661</v>
      </c>
      <c r="C311" s="14" t="n">
        <f aca="false">MIN(52,INT((A311-DATE(YEAR(A311),1,1))/7)+1)</f>
        <v>48</v>
      </c>
      <c r="D311" s="15" t="n">
        <v>8358</v>
      </c>
      <c r="E311" s="15" t="n">
        <v>275638</v>
      </c>
      <c r="F311" s="15" t="n">
        <v>209000</v>
      </c>
      <c r="G311" s="16" t="n">
        <f aca="false">$M$3+$M$4*B311</f>
        <v>8898.73692658865</v>
      </c>
      <c r="H311" s="17" t="n">
        <f aca="false">D311/G311</f>
        <v>0.939234418204569</v>
      </c>
      <c r="I311" s="18" t="n">
        <f aca="false">INDEX('2 Seasonal Index'!$D$3:$D$54,C311)</f>
        <v>0.974753768618106</v>
      </c>
      <c r="J311" s="16" t="n">
        <f aca="false">D311/I311</f>
        <v>8574.47313268561</v>
      </c>
      <c r="O311" s="14" t="n">
        <f aca="false">B311</f>
        <v>1661</v>
      </c>
      <c r="P311" s="16" t="n">
        <f aca="false">E311</f>
        <v>275638</v>
      </c>
      <c r="Q311" s="16" t="n">
        <f aca="false">F311</f>
        <v>209000</v>
      </c>
    </row>
    <row r="312" customFormat="false" ht="15" hidden="false" customHeight="false" outlineLevel="0" collapsed="false">
      <c r="A312" s="12" t="n">
        <v>44904</v>
      </c>
      <c r="B312" s="13" t="n">
        <v>1662</v>
      </c>
      <c r="C312" s="14" t="n">
        <f aca="false">MIN(52,INT((A312-DATE(YEAR(A312),1,1))/7)+1)</f>
        <v>49</v>
      </c>
      <c r="D312" s="15" t="n">
        <v>8255</v>
      </c>
      <c r="E312" s="15" t="n">
        <v>275638</v>
      </c>
      <c r="F312" s="15" t="n">
        <v>209000</v>
      </c>
      <c r="G312" s="16" t="n">
        <f aca="false">$M$3+$M$4*B312</f>
        <v>8897.56425165033</v>
      </c>
      <c r="H312" s="17" t="n">
        <f aca="false">D312/G312</f>
        <v>0.927782004886209</v>
      </c>
      <c r="I312" s="18" t="n">
        <f aca="false">INDEX('2 Seasonal Index'!$D$3:$D$54,C312)</f>
        <v>0.980293720669235</v>
      </c>
      <c r="J312" s="16" t="n">
        <f aca="false">D312/I312</f>
        <v>8420.94550433762</v>
      </c>
      <c r="O312" s="14" t="n">
        <f aca="false">B312</f>
        <v>1662</v>
      </c>
      <c r="P312" s="16" t="n">
        <f aca="false">E312</f>
        <v>275638</v>
      </c>
      <c r="Q312" s="16" t="n">
        <f aca="false">F312</f>
        <v>209000</v>
      </c>
    </row>
    <row r="313" customFormat="false" ht="15" hidden="false" customHeight="false" outlineLevel="0" collapsed="false">
      <c r="A313" s="12" t="n">
        <v>44911</v>
      </c>
      <c r="B313" s="13" t="n">
        <v>1663</v>
      </c>
      <c r="C313" s="14" t="n">
        <f aca="false">MIN(52,INT((A313-DATE(YEAR(A313),1,1))/7)+1)</f>
        <v>50</v>
      </c>
      <c r="D313" s="15" t="n">
        <v>8714</v>
      </c>
      <c r="E313" s="15" t="n">
        <v>280673</v>
      </c>
      <c r="F313" s="15" t="n">
        <v>209000</v>
      </c>
      <c r="G313" s="16" t="n">
        <f aca="false">$M$3+$M$4*B313</f>
        <v>8896.39157671201</v>
      </c>
      <c r="H313" s="17" t="n">
        <f aca="false">D313/G313</f>
        <v>0.979498252168952</v>
      </c>
      <c r="I313" s="18" t="n">
        <f aca="false">INDEX('2 Seasonal Index'!$D$3:$D$54,C313)</f>
        <v>1.00060911532618</v>
      </c>
      <c r="J313" s="16" t="n">
        <f aca="false">D313/I313</f>
        <v>8708.69540016073</v>
      </c>
      <c r="O313" s="14" t="n">
        <f aca="false">B313</f>
        <v>1663</v>
      </c>
      <c r="P313" s="16" t="n">
        <f aca="false">E313</f>
        <v>280673</v>
      </c>
      <c r="Q313" s="16" t="n">
        <f aca="false">F313</f>
        <v>209000</v>
      </c>
    </row>
    <row r="314" customFormat="false" ht="15" hidden="false" customHeight="false" outlineLevel="0" collapsed="false">
      <c r="A314" s="12" t="n">
        <v>44918</v>
      </c>
      <c r="B314" s="13" t="n">
        <v>1664</v>
      </c>
      <c r="C314" s="14" t="n">
        <f aca="false">MIN(52,INT((A314-DATE(YEAR(A314),1,1))/7)+1)</f>
        <v>51</v>
      </c>
      <c r="D314" s="15" t="n">
        <v>9327</v>
      </c>
      <c r="E314" s="15" t="n">
        <v>280673</v>
      </c>
      <c r="F314" s="15" t="n">
        <v>213000</v>
      </c>
      <c r="G314" s="16" t="n">
        <f aca="false">$M$3+$M$4*B314</f>
        <v>8895.21890177369</v>
      </c>
      <c r="H314" s="17" t="n">
        <f aca="false">D314/G314</f>
        <v>1.04854080635837</v>
      </c>
      <c r="I314" s="18" t="n">
        <f aca="false">INDEX('2 Seasonal Index'!$D$3:$D$54,C314)</f>
        <v>1.02197331378228</v>
      </c>
      <c r="J314" s="16" t="n">
        <f aca="false">D314/I314</f>
        <v>9126.46139993735</v>
      </c>
      <c r="O314" s="14" t="n">
        <f aca="false">B314</f>
        <v>1664</v>
      </c>
      <c r="P314" s="16" t="n">
        <f aca="false">E314</f>
        <v>280673</v>
      </c>
      <c r="Q314" s="16" t="n">
        <f aca="false">F314</f>
        <v>213000</v>
      </c>
    </row>
    <row r="315" customFormat="false" ht="15" hidden="false" customHeight="false" outlineLevel="0" collapsed="false">
      <c r="A315" s="12" t="n">
        <v>44925</v>
      </c>
      <c r="B315" s="13" t="n">
        <v>1665</v>
      </c>
      <c r="C315" s="14" t="n">
        <f aca="false">MIN(52,INT((A315-DATE(YEAR(A315),1,1))/7)+1)</f>
        <v>52</v>
      </c>
      <c r="D315" s="15" t="n">
        <v>7514</v>
      </c>
      <c r="E315" s="15" t="n">
        <v>280673</v>
      </c>
      <c r="F315" s="15" t="n">
        <v>205000</v>
      </c>
      <c r="G315" s="16" t="n">
        <f aca="false">$M$3+$M$4*B315</f>
        <v>8894.04622683537</v>
      </c>
      <c r="H315" s="17" t="n">
        <f aca="false">D315/G315</f>
        <v>0.844834826395274</v>
      </c>
      <c r="I315" s="18" t="n">
        <f aca="false">INDEX('2 Seasonal Index'!$D$3:$D$54,C315)</f>
        <v>0.941059701689701</v>
      </c>
      <c r="J315" s="16" t="n">
        <f aca="false">D315/I315</f>
        <v>7984.61562694522</v>
      </c>
      <c r="O315" s="14" t="n">
        <f aca="false">B315</f>
        <v>1665</v>
      </c>
      <c r="P315" s="16" t="n">
        <f aca="false">E315</f>
        <v>280673</v>
      </c>
      <c r="Q315" s="16" t="n">
        <f aca="false">F315</f>
        <v>205000</v>
      </c>
    </row>
    <row r="316" customFormat="false" ht="15" hidden="false" customHeight="false" outlineLevel="0" collapsed="false">
      <c r="A316" s="12" t="n">
        <v>44932</v>
      </c>
      <c r="B316" s="13" t="n">
        <v>1666</v>
      </c>
      <c r="C316" s="14" t="n">
        <f aca="false">MIN(52,INT((A316-DATE(YEAR(A316),1,1))/7)+1)</f>
        <v>1</v>
      </c>
      <c r="D316" s="15" t="n">
        <v>7558</v>
      </c>
      <c r="E316" s="15" t="n">
        <v>280673</v>
      </c>
      <c r="F316" s="15" t="n">
        <v>205000</v>
      </c>
      <c r="G316" s="16" t="n">
        <f aca="false">$M$3+$M$4*B316</f>
        <v>8892.87355189705</v>
      </c>
      <c r="H316" s="17" t="n">
        <f aca="false">D316/G316</f>
        <v>0.849894014110625</v>
      </c>
      <c r="I316" s="18" t="n">
        <f aca="false">INDEX('2 Seasonal Index'!$D$3:$D$54,C316)</f>
        <v>0.914658189121246</v>
      </c>
      <c r="J316" s="16" t="n">
        <f aca="false">D316/I316</f>
        <v>8263.19612057628</v>
      </c>
      <c r="O316" s="14" t="n">
        <f aca="false">B316</f>
        <v>1666</v>
      </c>
      <c r="P316" s="16" t="n">
        <f aca="false">E316</f>
        <v>280673</v>
      </c>
      <c r="Q316" s="16" t="n">
        <f aca="false">F316</f>
        <v>205000</v>
      </c>
    </row>
    <row r="317" customFormat="false" ht="15" hidden="false" customHeight="false" outlineLevel="0" collapsed="false">
      <c r="A317" s="12" t="n">
        <v>44939</v>
      </c>
      <c r="B317" s="13" t="n">
        <v>1667</v>
      </c>
      <c r="C317" s="14" t="n">
        <f aca="false">MIN(52,INT((A317-DATE(YEAR(A317),1,1))/7)+1)</f>
        <v>2</v>
      </c>
      <c r="D317" s="15" t="n">
        <v>8054</v>
      </c>
      <c r="E317" s="15" t="n">
        <v>280673</v>
      </c>
      <c r="F317" s="15" t="n">
        <v>210000</v>
      </c>
      <c r="G317" s="16" t="n">
        <f aca="false">$M$3+$M$4*B317</f>
        <v>8891.70087695873</v>
      </c>
      <c r="H317" s="17" t="n">
        <f aca="false">D317/G317</f>
        <v>0.905788455037946</v>
      </c>
      <c r="I317" s="18" t="n">
        <f aca="false">INDEX('2 Seasonal Index'!$D$3:$D$54,C317)</f>
        <v>0.921123720796805</v>
      </c>
      <c r="J317" s="16" t="n">
        <f aca="false">D317/I317</f>
        <v>8743.66799829344</v>
      </c>
      <c r="O317" s="14" t="n">
        <f aca="false">B317</f>
        <v>1667</v>
      </c>
      <c r="P317" s="16" t="n">
        <f aca="false">E317</f>
        <v>280673</v>
      </c>
      <c r="Q317" s="16" t="n">
        <f aca="false">F317</f>
        <v>210000</v>
      </c>
    </row>
    <row r="318" customFormat="false" ht="15" hidden="false" customHeight="false" outlineLevel="0" collapsed="false">
      <c r="A318" s="12" t="n">
        <v>44946</v>
      </c>
      <c r="B318" s="13" t="n">
        <v>1668</v>
      </c>
      <c r="C318" s="14" t="n">
        <f aca="false">MIN(52,INT((A318-DATE(YEAR(A318),1,1))/7)+1)</f>
        <v>3</v>
      </c>
      <c r="D318" s="15" t="n">
        <v>8142</v>
      </c>
      <c r="E318" s="15" t="n">
        <v>258728</v>
      </c>
      <c r="F318" s="15" t="n">
        <v>204000</v>
      </c>
      <c r="G318" s="16" t="n">
        <f aca="false">$M$3+$M$4*B318</f>
        <v>8890.52820202041</v>
      </c>
      <c r="H318" s="17" t="n">
        <f aca="false">D318/G318</f>
        <v>0.915806104540526</v>
      </c>
      <c r="I318" s="18" t="n">
        <f aca="false">INDEX('2 Seasonal Index'!$D$3:$D$54,C318)</f>
        <v>0.932475709892495</v>
      </c>
      <c r="J318" s="16" t="n">
        <f aca="false">D318/I318</f>
        <v>8731.5947360588</v>
      </c>
      <c r="O318" s="14" t="n">
        <f aca="false">B318</f>
        <v>1668</v>
      </c>
      <c r="P318" s="16" t="n">
        <f aca="false">E318</f>
        <v>258728</v>
      </c>
      <c r="Q318" s="16" t="n">
        <f aca="false">F318</f>
        <v>204000</v>
      </c>
    </row>
    <row r="319" customFormat="false" ht="15" hidden="false" customHeight="false" outlineLevel="0" collapsed="false">
      <c r="A319" s="12" t="n">
        <v>44953</v>
      </c>
      <c r="B319" s="13" t="n">
        <v>1669</v>
      </c>
      <c r="C319" s="14" t="n">
        <f aca="false">MIN(52,INT((A319-DATE(YEAR(A319),1,1))/7)+1)</f>
        <v>4</v>
      </c>
      <c r="D319" s="15" t="n">
        <v>8491</v>
      </c>
      <c r="E319" s="15" t="n">
        <v>258728</v>
      </c>
      <c r="F319" s="15" t="n">
        <v>204000</v>
      </c>
      <c r="G319" s="16" t="n">
        <f aca="false">$M$3+$M$4*B319</f>
        <v>8889.35552708209</v>
      </c>
      <c r="H319" s="17" t="n">
        <f aca="false">D319/G319</f>
        <v>0.955187355723542</v>
      </c>
      <c r="I319" s="18" t="n">
        <f aca="false">INDEX('2 Seasonal Index'!$D$3:$D$54,C319)</f>
        <v>0.95567024426302</v>
      </c>
      <c r="J319" s="16" t="n">
        <f aca="false">D319/I319</f>
        <v>8884.86384395903</v>
      </c>
      <c r="O319" s="14" t="n">
        <f aca="false">B319</f>
        <v>1669</v>
      </c>
      <c r="P319" s="16" t="n">
        <f aca="false">E319</f>
        <v>258728</v>
      </c>
      <c r="Q319" s="16" t="n">
        <f aca="false">F319</f>
        <v>204000</v>
      </c>
    </row>
    <row r="320" customFormat="false" ht="15" hidden="false" customHeight="false" outlineLevel="0" collapsed="false">
      <c r="A320" s="12" t="n">
        <v>44960</v>
      </c>
      <c r="B320" s="13" t="n">
        <v>1670</v>
      </c>
      <c r="C320" s="14" t="n">
        <f aca="false">MIN(52,INT((A320-DATE(YEAR(A320),1,1))/7)+1)</f>
        <v>5</v>
      </c>
      <c r="D320" s="15" t="n">
        <v>8428</v>
      </c>
      <c r="E320" s="15" t="n">
        <v>258728</v>
      </c>
      <c r="F320" s="15" t="n">
        <v>200000</v>
      </c>
      <c r="G320" s="16" t="n">
        <f aca="false">$M$3+$M$4*B320</f>
        <v>8888.18285214378</v>
      </c>
      <c r="H320" s="17" t="n">
        <f aca="false">D320/G320</f>
        <v>0.948225316715578</v>
      </c>
      <c r="I320" s="18" t="n">
        <f aca="false">INDEX('2 Seasonal Index'!$D$3:$D$54,C320)</f>
        <v>0.963785211095498</v>
      </c>
      <c r="J320" s="16" t="n">
        <f aca="false">D320/I320</f>
        <v>8744.68699350576</v>
      </c>
      <c r="O320" s="14" t="n">
        <f aca="false">B320</f>
        <v>1670</v>
      </c>
      <c r="P320" s="16" t="n">
        <f aca="false">E320</f>
        <v>258728</v>
      </c>
      <c r="Q320" s="16" t="n">
        <f aca="false">F320</f>
        <v>200000</v>
      </c>
    </row>
    <row r="321" customFormat="false" ht="15" hidden="false" customHeight="false" outlineLevel="0" collapsed="false">
      <c r="A321" s="12" t="n">
        <v>44967</v>
      </c>
      <c r="B321" s="13" t="n">
        <v>1671</v>
      </c>
      <c r="C321" s="14" t="n">
        <f aca="false">MIN(52,INT((A321-DATE(YEAR(A321),1,1))/7)+1)</f>
        <v>6</v>
      </c>
      <c r="D321" s="15" t="n">
        <v>8274</v>
      </c>
      <c r="E321" s="15" t="n">
        <v>258728</v>
      </c>
      <c r="F321" s="15" t="n">
        <v>215000</v>
      </c>
      <c r="G321" s="16" t="n">
        <f aca="false">$M$3+$M$4*B321</f>
        <v>8887.01017720546</v>
      </c>
      <c r="H321" s="17" t="n">
        <f aca="false">D321/G321</f>
        <v>0.931021776167447</v>
      </c>
      <c r="I321" s="18" t="n">
        <f aca="false">INDEX('2 Seasonal Index'!$D$3:$D$54,C321)</f>
        <v>0.93990301851115</v>
      </c>
      <c r="J321" s="16" t="n">
        <f aca="false">D321/I321</f>
        <v>8803.03588460265</v>
      </c>
      <c r="O321" s="14" t="n">
        <f aca="false">B321</f>
        <v>1671</v>
      </c>
      <c r="P321" s="16" t="n">
        <f aca="false">E321</f>
        <v>258728</v>
      </c>
      <c r="Q321" s="16" t="n">
        <f aca="false">F321</f>
        <v>215000</v>
      </c>
    </row>
    <row r="322" customFormat="false" ht="15" hidden="false" customHeight="false" outlineLevel="0" collapsed="false">
      <c r="A322" s="12" t="n">
        <v>44974</v>
      </c>
      <c r="B322" s="13" t="n">
        <v>1672</v>
      </c>
      <c r="C322" s="14" t="n">
        <f aca="false">MIN(52,INT((A322-DATE(YEAR(A322),1,1))/7)+1)</f>
        <v>7</v>
      </c>
      <c r="D322" s="15" t="n">
        <v>8910</v>
      </c>
      <c r="E322" s="15" t="n">
        <v>258030</v>
      </c>
      <c r="F322" s="15" t="n">
        <v>220000</v>
      </c>
      <c r="G322" s="16" t="n">
        <f aca="false">$M$3+$M$4*B322</f>
        <v>8885.83750226714</v>
      </c>
      <c r="H322" s="17" t="n">
        <f aca="false">D322/G322</f>
        <v>1.00271921444959</v>
      </c>
      <c r="I322" s="18" t="n">
        <f aca="false">INDEX('2 Seasonal Index'!$D$3:$D$54,C322)</f>
        <v>0.963162093989007</v>
      </c>
      <c r="J322" s="16" t="n">
        <f aca="false">D322/I322</f>
        <v>9250.77933984983</v>
      </c>
      <c r="O322" s="14" t="n">
        <f aca="false">B322</f>
        <v>1672</v>
      </c>
      <c r="P322" s="16" t="n">
        <f aca="false">E322</f>
        <v>258030</v>
      </c>
      <c r="Q322" s="16" t="n">
        <f aca="false">F322</f>
        <v>220000</v>
      </c>
    </row>
    <row r="323" customFormat="false" ht="15" hidden="false" customHeight="false" outlineLevel="0" collapsed="false">
      <c r="A323" s="12" t="n">
        <v>44981</v>
      </c>
      <c r="B323" s="13" t="n">
        <v>1673</v>
      </c>
      <c r="C323" s="14" t="n">
        <f aca="false">MIN(52,INT((A323-DATE(YEAR(A323),1,1))/7)+1)</f>
        <v>8</v>
      </c>
      <c r="D323" s="15" t="n">
        <v>9112</v>
      </c>
      <c r="E323" s="15" t="n">
        <v>258030</v>
      </c>
      <c r="F323" s="15" t="n">
        <v>217000</v>
      </c>
      <c r="G323" s="16" t="n">
        <f aca="false">$M$3+$M$4*B323</f>
        <v>8884.66482732882</v>
      </c>
      <c r="H323" s="17" t="n">
        <f aca="false">D323/G323</f>
        <v>1.02558736621914</v>
      </c>
      <c r="I323" s="18" t="n">
        <f aca="false">INDEX('2 Seasonal Index'!$D$3:$D$54,C323)</f>
        <v>0.978387056473038</v>
      </c>
      <c r="J323" s="16" t="n">
        <f aca="false">D323/I323</f>
        <v>9313.28755804233</v>
      </c>
      <c r="O323" s="14" t="n">
        <f aca="false">B323</f>
        <v>1673</v>
      </c>
      <c r="P323" s="16" t="n">
        <f aca="false">E323</f>
        <v>258030</v>
      </c>
      <c r="Q323" s="16" t="n">
        <f aca="false">F323</f>
        <v>217000</v>
      </c>
    </row>
    <row r="324" customFormat="false" ht="15" hidden="false" customHeight="false" outlineLevel="0" collapsed="false">
      <c r="A324" s="12" t="n">
        <v>44988</v>
      </c>
      <c r="B324" s="13" t="n">
        <v>1674</v>
      </c>
      <c r="C324" s="14" t="n">
        <f aca="false">MIN(52,INT((A324-DATE(YEAR(A324),1,1))/7)+1)</f>
        <v>9</v>
      </c>
      <c r="D324" s="15" t="n">
        <v>8562</v>
      </c>
      <c r="E324" s="15" t="n">
        <v>258030</v>
      </c>
      <c r="F324" s="15" t="n">
        <v>207000</v>
      </c>
      <c r="G324" s="16" t="n">
        <f aca="false">$M$3+$M$4*B324</f>
        <v>8883.4921523905</v>
      </c>
      <c r="H324" s="17" t="n">
        <f aca="false">D324/G324</f>
        <v>0.963810160815644</v>
      </c>
      <c r="I324" s="18" t="n">
        <f aca="false">INDEX('2 Seasonal Index'!$D$3:$D$54,C324)</f>
        <v>0.986293676275175</v>
      </c>
      <c r="J324" s="16" t="n">
        <f aca="false">D324/I324</f>
        <v>8680.98438219248</v>
      </c>
      <c r="O324" s="14" t="n">
        <f aca="false">B324</f>
        <v>1674</v>
      </c>
      <c r="P324" s="16" t="n">
        <f aca="false">E324</f>
        <v>258030</v>
      </c>
      <c r="Q324" s="16" t="n">
        <f aca="false">F324</f>
        <v>207000</v>
      </c>
    </row>
    <row r="325" customFormat="false" ht="15" hidden="false" customHeight="false" outlineLevel="0" collapsed="false">
      <c r="A325" s="12" t="n">
        <v>44995</v>
      </c>
      <c r="B325" s="13" t="n">
        <v>1675</v>
      </c>
      <c r="C325" s="14" t="n">
        <f aca="false">MIN(52,INT((A325-DATE(YEAR(A325),1,1))/7)+1)</f>
        <v>10</v>
      </c>
      <c r="D325" s="15" t="n">
        <v>8594</v>
      </c>
      <c r="E325" s="15" t="n">
        <v>258030</v>
      </c>
      <c r="F325" s="15" t="n">
        <v>230000</v>
      </c>
      <c r="G325" s="16" t="n">
        <f aca="false">$M$3+$M$4*B325</f>
        <v>8882.31947745218</v>
      </c>
      <c r="H325" s="17" t="n">
        <f aca="false">D325/G325</f>
        <v>0.967540068989403</v>
      </c>
      <c r="I325" s="18" t="n">
        <f aca="false">INDEX('2 Seasonal Index'!$D$3:$D$54,C325)</f>
        <v>0.995274907218877</v>
      </c>
      <c r="J325" s="16" t="n">
        <f aca="false">D325/I325</f>
        <v>8634.80023224382</v>
      </c>
      <c r="O325" s="14" t="n">
        <f aca="false">B325</f>
        <v>1675</v>
      </c>
      <c r="P325" s="16" t="n">
        <f aca="false">E325</f>
        <v>258030</v>
      </c>
      <c r="Q325" s="16" t="n">
        <f aca="false">F325</f>
        <v>230000</v>
      </c>
    </row>
    <row r="326" customFormat="false" ht="15" hidden="false" customHeight="false" outlineLevel="0" collapsed="false">
      <c r="A326" s="12" t="n">
        <v>45002</v>
      </c>
      <c r="B326" s="13" t="n">
        <v>1676</v>
      </c>
      <c r="C326" s="14" t="n">
        <f aca="false">MIN(52,INT((A326-DATE(YEAR(A326),1,1))/7)+1)</f>
        <v>11</v>
      </c>
      <c r="D326" s="15" t="n">
        <v>8960</v>
      </c>
      <c r="E326" s="15" t="n">
        <v>258030</v>
      </c>
      <c r="F326" s="15" t="n">
        <v>222000</v>
      </c>
      <c r="G326" s="16" t="n">
        <f aca="false">$M$3+$M$4*B326</f>
        <v>8881.14680251386</v>
      </c>
      <c r="H326" s="17" t="n">
        <f aca="false">D326/G326</f>
        <v>1.00887871794483</v>
      </c>
      <c r="I326" s="18" t="n">
        <f aca="false">INDEX('2 Seasonal Index'!$D$3:$D$54,C326)</f>
        <v>1.00212775296089</v>
      </c>
      <c r="J326" s="16" t="n">
        <f aca="false">D326/I326</f>
        <v>8940.97581224222</v>
      </c>
      <c r="O326" s="14" t="n">
        <f aca="false">B326</f>
        <v>1676</v>
      </c>
      <c r="P326" s="16" t="n">
        <f aca="false">E326</f>
        <v>258030</v>
      </c>
      <c r="Q326" s="16" t="n">
        <f aca="false">F326</f>
        <v>222000</v>
      </c>
    </row>
    <row r="327" customFormat="false" ht="15" hidden="false" customHeight="false" outlineLevel="0" collapsed="false">
      <c r="A327" s="12" t="n">
        <v>45009</v>
      </c>
      <c r="B327" s="13" t="n">
        <v>1677</v>
      </c>
      <c r="C327" s="14" t="n">
        <f aca="false">MIN(52,INT((A327-DATE(YEAR(A327),1,1))/7)+1)</f>
        <v>12</v>
      </c>
      <c r="D327" s="15" t="n">
        <v>9145</v>
      </c>
      <c r="E327" s="15" t="n">
        <v>248718</v>
      </c>
      <c r="F327" s="15" t="n">
        <v>230000</v>
      </c>
      <c r="G327" s="16" t="n">
        <f aca="false">$M$3+$M$4*B327</f>
        <v>8879.97412757554</v>
      </c>
      <c r="H327" s="17" t="n">
        <f aca="false">D327/G327</f>
        <v>1.02984534285989</v>
      </c>
      <c r="I327" s="18" t="n">
        <f aca="false">INDEX('2 Seasonal Index'!$D$3:$D$54,C327)</f>
        <v>0.99255102448152</v>
      </c>
      <c r="J327" s="16" t="n">
        <f aca="false">D327/I327</f>
        <v>9213.6321200989</v>
      </c>
      <c r="O327" s="14" t="n">
        <f aca="false">B327</f>
        <v>1677</v>
      </c>
      <c r="P327" s="16" t="n">
        <f aca="false">E327</f>
        <v>248718</v>
      </c>
      <c r="Q327" s="16" t="n">
        <f aca="false">F327</f>
        <v>230000</v>
      </c>
    </row>
    <row r="328" customFormat="false" ht="15" hidden="false" customHeight="false" outlineLevel="0" collapsed="false">
      <c r="A328" s="12" t="n">
        <v>45016</v>
      </c>
      <c r="B328" s="13" t="n">
        <v>1678</v>
      </c>
      <c r="C328" s="14" t="n">
        <f aca="false">MIN(52,INT((A328-DATE(YEAR(A328),1,1))/7)+1)</f>
        <v>13</v>
      </c>
      <c r="D328" s="15" t="n">
        <v>9295</v>
      </c>
      <c r="E328" s="15" t="n">
        <v>248718</v>
      </c>
      <c r="F328" s="15" t="n">
        <v>234000</v>
      </c>
      <c r="G328" s="16" t="n">
        <f aca="false">$M$3+$M$4*B328</f>
        <v>8878.80145263722</v>
      </c>
      <c r="H328" s="17" t="n">
        <f aca="false">D328/G328</f>
        <v>1.04687553264739</v>
      </c>
      <c r="I328" s="18" t="n">
        <f aca="false">INDEX('2 Seasonal Index'!$D$3:$D$54,C328)</f>
        <v>1.00671990755393</v>
      </c>
      <c r="J328" s="16" t="n">
        <f aca="false">D328/I328</f>
        <v>9232.95539330738</v>
      </c>
      <c r="O328" s="14" t="n">
        <f aca="false">B328</f>
        <v>1678</v>
      </c>
      <c r="P328" s="16" t="n">
        <f aca="false">E328</f>
        <v>248718</v>
      </c>
      <c r="Q328" s="16" t="n">
        <f aca="false">F328</f>
        <v>234000</v>
      </c>
    </row>
    <row r="329" customFormat="false" ht="15" hidden="false" customHeight="false" outlineLevel="0" collapsed="false">
      <c r="A329" s="12" t="n">
        <v>45023</v>
      </c>
      <c r="B329" s="13" t="n">
        <v>1679</v>
      </c>
      <c r="C329" s="14" t="n">
        <f aca="false">MIN(52,INT((A329-DATE(YEAR(A329),1,1))/7)+1)</f>
        <v>14</v>
      </c>
      <c r="D329" s="15" t="n">
        <v>8936</v>
      </c>
      <c r="E329" s="15" t="n">
        <v>248718</v>
      </c>
      <c r="F329" s="15" t="n">
        <v>217000</v>
      </c>
      <c r="G329" s="16" t="n">
        <f aca="false">$M$3+$M$4*B329</f>
        <v>8877.62877769891</v>
      </c>
      <c r="H329" s="17" t="n">
        <f aca="false">D329/G329</f>
        <v>1.00657509158839</v>
      </c>
      <c r="I329" s="18" t="n">
        <f aca="false">INDEX('2 Seasonal Index'!$D$3:$D$54,C329)</f>
        <v>0.994713065050192</v>
      </c>
      <c r="J329" s="16" t="n">
        <f aca="false">D329/I329</f>
        <v>8983.49515450378</v>
      </c>
      <c r="O329" s="14" t="n">
        <f aca="false">B329</f>
        <v>1679</v>
      </c>
      <c r="P329" s="16" t="n">
        <f aca="false">E329</f>
        <v>248718</v>
      </c>
      <c r="Q329" s="16" t="n">
        <f aca="false">F329</f>
        <v>217000</v>
      </c>
    </row>
    <row r="330" customFormat="false" ht="15" hidden="false" customHeight="false" outlineLevel="0" collapsed="false">
      <c r="A330" s="12" t="n">
        <v>45030</v>
      </c>
      <c r="B330" s="13" t="n">
        <v>1680</v>
      </c>
      <c r="C330" s="14" t="n">
        <f aca="false">MIN(52,INT((A330-DATE(YEAR(A330),1,1))/7)+1)</f>
        <v>15</v>
      </c>
      <c r="D330" s="15" t="n">
        <v>8519</v>
      </c>
      <c r="E330" s="15" t="n">
        <v>248718</v>
      </c>
      <c r="F330" s="15" t="n">
        <v>220000</v>
      </c>
      <c r="G330" s="16" t="n">
        <f aca="false">$M$3+$M$4*B330</f>
        <v>8876.45610276059</v>
      </c>
      <c r="H330" s="17" t="n">
        <f aca="false">D330/G330</f>
        <v>0.959729863064448</v>
      </c>
      <c r="I330" s="18" t="n">
        <f aca="false">INDEX('2 Seasonal Index'!$D$3:$D$54,C330)</f>
        <v>1.00303091571571</v>
      </c>
      <c r="J330" s="16" t="n">
        <f aca="false">D330/I330</f>
        <v>8493.25765190525</v>
      </c>
      <c r="O330" s="14" t="n">
        <f aca="false">B330</f>
        <v>1680</v>
      </c>
      <c r="P330" s="16" t="n">
        <f aca="false">E330</f>
        <v>248718</v>
      </c>
      <c r="Q330" s="16" t="n">
        <f aca="false">F330</f>
        <v>220000</v>
      </c>
    </row>
    <row r="331" customFormat="false" ht="15" hidden="false" customHeight="false" outlineLevel="0" collapsed="false">
      <c r="A331" s="12" t="n">
        <v>45037</v>
      </c>
      <c r="B331" s="13" t="n">
        <v>1681</v>
      </c>
      <c r="C331" s="14" t="n">
        <f aca="false">MIN(52,INT((A331-DATE(YEAR(A331),1,1))/7)+1)</f>
        <v>16</v>
      </c>
      <c r="D331" s="15" t="n">
        <v>9511</v>
      </c>
      <c r="E331" s="15" t="n">
        <v>236170</v>
      </c>
      <c r="F331" s="15" t="n">
        <v>223000</v>
      </c>
      <c r="G331" s="16" t="n">
        <f aca="false">$M$3+$M$4*B331</f>
        <v>8875.28342782227</v>
      </c>
      <c r="H331" s="17" t="n">
        <f aca="false">D331/G331</f>
        <v>1.07162774883165</v>
      </c>
      <c r="I331" s="18" t="n">
        <f aca="false">INDEX('2 Seasonal Index'!$D$3:$D$54,C331)</f>
        <v>1.00209740802543</v>
      </c>
      <c r="J331" s="16" t="n">
        <f aca="false">D331/I331</f>
        <v>9491.09330473258</v>
      </c>
      <c r="O331" s="14" t="n">
        <f aca="false">B331</f>
        <v>1681</v>
      </c>
      <c r="P331" s="16" t="n">
        <f aca="false">E331</f>
        <v>236170</v>
      </c>
      <c r="Q331" s="16" t="n">
        <f aca="false">F331</f>
        <v>223000</v>
      </c>
    </row>
    <row r="332" customFormat="false" ht="15" hidden="false" customHeight="false" outlineLevel="0" collapsed="false">
      <c r="A332" s="12" t="n">
        <v>45044</v>
      </c>
      <c r="B332" s="13" t="n">
        <v>1682</v>
      </c>
      <c r="C332" s="14" t="n">
        <f aca="false">MIN(52,INT((A332-DATE(YEAR(A332),1,1))/7)+1)</f>
        <v>17</v>
      </c>
      <c r="D332" s="15" t="n">
        <v>8618</v>
      </c>
      <c r="E332" s="15" t="n">
        <v>236170</v>
      </c>
      <c r="F332" s="15" t="n">
        <v>209000</v>
      </c>
      <c r="G332" s="16" t="n">
        <f aca="false">$M$3+$M$4*B332</f>
        <v>8874.11075288395</v>
      </c>
      <c r="H332" s="17" t="n">
        <f aca="false">D332/G332</f>
        <v>0.971139558653726</v>
      </c>
      <c r="I332" s="18" t="n">
        <f aca="false">INDEX('2 Seasonal Index'!$D$3:$D$54,C332)</f>
        <v>0.985720009085136</v>
      </c>
      <c r="J332" s="16" t="n">
        <f aca="false">D332/I332</f>
        <v>8742.84778696794</v>
      </c>
      <c r="O332" s="14" t="n">
        <f aca="false">B332</f>
        <v>1682</v>
      </c>
      <c r="P332" s="16" t="n">
        <f aca="false">E332</f>
        <v>236170</v>
      </c>
      <c r="Q332" s="16" t="n">
        <f aca="false">F332</f>
        <v>209000</v>
      </c>
    </row>
    <row r="333" customFormat="false" ht="15" hidden="false" customHeight="false" outlineLevel="0" collapsed="false">
      <c r="A333" s="12" t="n">
        <v>45051</v>
      </c>
      <c r="B333" s="13" t="n">
        <v>1683</v>
      </c>
      <c r="C333" s="14" t="n">
        <f aca="false">MIN(52,INT((A333-DATE(YEAR(A333),1,1))/7)+1)</f>
        <v>18</v>
      </c>
      <c r="D333" s="15" t="n">
        <v>9303</v>
      </c>
      <c r="E333" s="15" t="n">
        <v>236170</v>
      </c>
      <c r="F333" s="15" t="n">
        <v>213000</v>
      </c>
      <c r="G333" s="16" t="n">
        <f aca="false">$M$3+$M$4*B333</f>
        <v>8872.93807794563</v>
      </c>
      <c r="H333" s="17" t="n">
        <f aca="false">D333/G333</f>
        <v>1.04846894211099</v>
      </c>
      <c r="I333" s="18" t="n">
        <f aca="false">INDEX('2 Seasonal Index'!$D$3:$D$54,C333)</f>
        <v>1.01814015000929</v>
      </c>
      <c r="J333" s="16" t="n">
        <f aca="false">D333/I333</f>
        <v>9137.24893367094</v>
      </c>
      <c r="O333" s="14" t="n">
        <f aca="false">B333</f>
        <v>1683</v>
      </c>
      <c r="P333" s="16" t="n">
        <f aca="false">E333</f>
        <v>236170</v>
      </c>
      <c r="Q333" s="16" t="n">
        <f aca="false">F333</f>
        <v>213000</v>
      </c>
    </row>
    <row r="334" customFormat="false" ht="15" hidden="false" customHeight="false" outlineLevel="0" collapsed="false">
      <c r="A334" s="12" t="n">
        <v>45058</v>
      </c>
      <c r="B334" s="13" t="n">
        <v>1684</v>
      </c>
      <c r="C334" s="14" t="n">
        <f aca="false">MIN(52,INT((A334-DATE(YEAR(A334),1,1))/7)+1)</f>
        <v>19</v>
      </c>
      <c r="D334" s="15" t="n">
        <v>8908</v>
      </c>
      <c r="E334" s="15" t="n">
        <v>236170</v>
      </c>
      <c r="F334" s="15" t="n">
        <v>223000</v>
      </c>
      <c r="G334" s="16" t="n">
        <f aca="false">$M$3+$M$4*B334</f>
        <v>8871.76540300731</v>
      </c>
      <c r="H334" s="17" t="n">
        <f aca="false">D334/G334</f>
        <v>1.00408426004822</v>
      </c>
      <c r="I334" s="18" t="n">
        <f aca="false">INDEX('2 Seasonal Index'!$D$3:$D$54,C334)</f>
        <v>1.01337123918897</v>
      </c>
      <c r="J334" s="16" t="n">
        <f aca="false">D334/I334</f>
        <v>8790.46064809315</v>
      </c>
      <c r="O334" s="14" t="n">
        <f aca="false">B334</f>
        <v>1684</v>
      </c>
      <c r="P334" s="16" t="n">
        <f aca="false">E334</f>
        <v>236170</v>
      </c>
      <c r="Q334" s="16" t="n">
        <f aca="false">F334</f>
        <v>223000</v>
      </c>
    </row>
    <row r="335" customFormat="false" ht="15" hidden="false" customHeight="false" outlineLevel="0" collapsed="false">
      <c r="A335" s="12" t="n">
        <v>45065</v>
      </c>
      <c r="B335" s="13" t="n">
        <v>1685</v>
      </c>
      <c r="C335" s="14" t="n">
        <f aca="false">MIN(52,INT((A335-DATE(YEAR(A335),1,1))/7)+1)</f>
        <v>20</v>
      </c>
      <c r="D335" s="15" t="n">
        <v>9437</v>
      </c>
      <c r="E335" s="15" t="n">
        <v>272758</v>
      </c>
      <c r="F335" s="15" t="n">
        <v>225000</v>
      </c>
      <c r="G335" s="16" t="n">
        <f aca="false">$M$3+$M$4*B335</f>
        <v>8870.59272806899</v>
      </c>
      <c r="H335" s="17" t="n">
        <f aca="false">D335/G335</f>
        <v>1.06385224632608</v>
      </c>
      <c r="I335" s="18" t="n">
        <f aca="false">INDEX('2 Seasonal Index'!$D$3:$D$54,C335)</f>
        <v>1.03551191118317</v>
      </c>
      <c r="J335" s="16" t="n">
        <f aca="false">D335/I335</f>
        <v>9113.36692324221</v>
      </c>
      <c r="O335" s="14" t="n">
        <f aca="false">B335</f>
        <v>1685</v>
      </c>
      <c r="P335" s="16" t="n">
        <f aca="false">E335</f>
        <v>272758</v>
      </c>
      <c r="Q335" s="16" t="n">
        <f aca="false">F335</f>
        <v>225000</v>
      </c>
    </row>
    <row r="336" customFormat="false" ht="15" hidden="false" customHeight="false" outlineLevel="0" collapsed="false">
      <c r="A336" s="12" t="n">
        <v>45072</v>
      </c>
      <c r="B336" s="13" t="n">
        <v>1686</v>
      </c>
      <c r="C336" s="14" t="n">
        <f aca="false">MIN(52,INT((A336-DATE(YEAR(A336),1,1))/7)+1)</f>
        <v>21</v>
      </c>
      <c r="D336" s="15" t="n">
        <v>9098</v>
      </c>
      <c r="E336" s="15" t="n">
        <v>272758</v>
      </c>
      <c r="F336" s="15" t="n">
        <v>227000</v>
      </c>
      <c r="G336" s="16" t="n">
        <f aca="false">$M$3+$M$4*B336</f>
        <v>8869.42005313067</v>
      </c>
      <c r="H336" s="17" t="n">
        <f aca="false">D336/G336</f>
        <v>1.02577169031347</v>
      </c>
      <c r="I336" s="18" t="n">
        <f aca="false">INDEX('2 Seasonal Index'!$D$3:$D$54,C336)</f>
        <v>1.0352245807811</v>
      </c>
      <c r="J336" s="16" t="n">
        <f aca="false">D336/I336</f>
        <v>8788.43119541787</v>
      </c>
      <c r="O336" s="14" t="n">
        <f aca="false">B336</f>
        <v>1686</v>
      </c>
      <c r="P336" s="16" t="n">
        <f aca="false">E336</f>
        <v>272758</v>
      </c>
      <c r="Q336" s="16" t="n">
        <f aca="false">F336</f>
        <v>227000</v>
      </c>
    </row>
    <row r="337" customFormat="false" ht="15" hidden="false" customHeight="false" outlineLevel="0" collapsed="false">
      <c r="A337" s="12" t="n">
        <v>45079</v>
      </c>
      <c r="B337" s="13" t="n">
        <v>1687</v>
      </c>
      <c r="C337" s="14" t="n">
        <f aca="false">MIN(52,INT((A337-DATE(YEAR(A337),1,1))/7)+1)</f>
        <v>22</v>
      </c>
      <c r="D337" s="15" t="n">
        <v>9218</v>
      </c>
      <c r="E337" s="15" t="n">
        <v>272758</v>
      </c>
      <c r="F337" s="15" t="n">
        <v>229000</v>
      </c>
      <c r="G337" s="16" t="n">
        <f aca="false">$M$3+$M$4*B337</f>
        <v>8868.24737819235</v>
      </c>
      <c r="H337" s="17" t="n">
        <f aca="false">D337/G337</f>
        <v>1.0394387534416</v>
      </c>
      <c r="I337" s="18" t="n">
        <f aca="false">INDEX('2 Seasonal Index'!$D$3:$D$54,C337)</f>
        <v>1.01397917017061</v>
      </c>
      <c r="J337" s="16" t="n">
        <f aca="false">D337/I337</f>
        <v>9090.916530809</v>
      </c>
      <c r="O337" s="14" t="n">
        <f aca="false">B337</f>
        <v>1687</v>
      </c>
      <c r="P337" s="16" t="n">
        <f aca="false">E337</f>
        <v>272758</v>
      </c>
      <c r="Q337" s="16" t="n">
        <f aca="false">F337</f>
        <v>229000</v>
      </c>
    </row>
    <row r="338" customFormat="false" ht="15" hidden="false" customHeight="false" outlineLevel="0" collapsed="false">
      <c r="A338" s="12" t="n">
        <v>45086</v>
      </c>
      <c r="B338" s="13" t="n">
        <v>1688</v>
      </c>
      <c r="C338" s="14" t="n">
        <f aca="false">MIN(52,INT((A338-DATE(YEAR(A338),1,1))/7)+1)</f>
        <v>23</v>
      </c>
      <c r="D338" s="15" t="n">
        <v>9193</v>
      </c>
      <c r="E338" s="15" t="n">
        <v>272758</v>
      </c>
      <c r="F338" s="15" t="n">
        <v>252000</v>
      </c>
      <c r="G338" s="16" t="n">
        <f aca="false">$M$3+$M$4*B338</f>
        <v>8867.07470325404</v>
      </c>
      <c r="H338" s="17" t="n">
        <f aca="false">D338/G338</f>
        <v>1.03675680059697</v>
      </c>
      <c r="I338" s="18" t="n">
        <f aca="false">INDEX('2 Seasonal Index'!$D$3:$D$54,C338)</f>
        <v>1.03755973679196</v>
      </c>
      <c r="J338" s="16" t="n">
        <f aca="false">D338/I338</f>
        <v>8860.21274150819</v>
      </c>
      <c r="O338" s="14" t="n">
        <f aca="false">B338</f>
        <v>1688</v>
      </c>
      <c r="P338" s="16" t="n">
        <f aca="false">E338</f>
        <v>272758</v>
      </c>
      <c r="Q338" s="16" t="n">
        <f aca="false">F338</f>
        <v>252000</v>
      </c>
    </row>
    <row r="339" customFormat="false" ht="15" hidden="false" customHeight="false" outlineLevel="0" collapsed="false">
      <c r="A339" s="12" t="n">
        <v>45093</v>
      </c>
      <c r="B339" s="13" t="n">
        <v>1689</v>
      </c>
      <c r="C339" s="14" t="n">
        <f aca="false">MIN(52,INT((A339-DATE(YEAR(A339),1,1))/7)+1)</f>
        <v>24</v>
      </c>
      <c r="D339" s="15" t="n">
        <v>9375</v>
      </c>
      <c r="E339" s="15" t="n">
        <v>267308</v>
      </c>
      <c r="F339" s="15" t="n">
        <v>256000</v>
      </c>
      <c r="G339" s="16" t="n">
        <f aca="false">$M$3+$M$4*B339</f>
        <v>8865.90202831572</v>
      </c>
      <c r="H339" s="17" t="n">
        <f aca="false">D339/G339</f>
        <v>1.05742201640153</v>
      </c>
      <c r="I339" s="18" t="n">
        <f aca="false">INDEX('2 Seasonal Index'!$D$3:$D$54,C339)</f>
        <v>1.03445132468082</v>
      </c>
      <c r="J339" s="16" t="n">
        <f aca="false">D339/I339</f>
        <v>9062.77538277856</v>
      </c>
      <c r="O339" s="14" t="n">
        <f aca="false">B339</f>
        <v>1689</v>
      </c>
      <c r="P339" s="16" t="n">
        <f aca="false">E339</f>
        <v>267308</v>
      </c>
      <c r="Q339" s="16" t="n">
        <f aca="false">F339</f>
        <v>256000</v>
      </c>
    </row>
    <row r="340" customFormat="false" ht="15" hidden="false" customHeight="false" outlineLevel="0" collapsed="false">
      <c r="A340" s="12" t="n">
        <v>45100</v>
      </c>
      <c r="B340" s="13" t="n">
        <v>1690</v>
      </c>
      <c r="C340" s="14" t="n">
        <f aca="false">MIN(52,INT((A340-DATE(YEAR(A340),1,1))/7)+1)</f>
        <v>25</v>
      </c>
      <c r="D340" s="15" t="n">
        <v>9306</v>
      </c>
      <c r="E340" s="15" t="n">
        <v>267308</v>
      </c>
      <c r="F340" s="15" t="n">
        <v>259000</v>
      </c>
      <c r="G340" s="16" t="n">
        <f aca="false">$M$3+$M$4*B340</f>
        <v>8864.7293533774</v>
      </c>
      <c r="H340" s="17" t="n">
        <f aca="false">D340/G340</f>
        <v>1.04977824240674</v>
      </c>
      <c r="I340" s="18" t="n">
        <f aca="false">INDEX('2 Seasonal Index'!$D$3:$D$54,C340)</f>
        <v>1.03606069309931</v>
      </c>
      <c r="J340" s="16" t="n">
        <f aca="false">D340/I340</f>
        <v>8982.09927466866</v>
      </c>
      <c r="O340" s="14" t="n">
        <f aca="false">B340</f>
        <v>1690</v>
      </c>
      <c r="P340" s="16" t="n">
        <f aca="false">E340</f>
        <v>267308</v>
      </c>
      <c r="Q340" s="16" t="n">
        <f aca="false">F340</f>
        <v>259000</v>
      </c>
    </row>
    <row r="341" customFormat="false" ht="15" hidden="false" customHeight="false" outlineLevel="0" collapsed="false">
      <c r="A341" s="12" t="n">
        <v>45107</v>
      </c>
      <c r="B341" s="13" t="n">
        <v>1691</v>
      </c>
      <c r="C341" s="14" t="n">
        <f aca="false">MIN(52,INT((A341-DATE(YEAR(A341),1,1))/7)+1)</f>
        <v>26</v>
      </c>
      <c r="D341" s="15" t="n">
        <v>9599</v>
      </c>
      <c r="E341" s="15" t="n">
        <v>267308</v>
      </c>
      <c r="F341" s="15" t="n">
        <v>236000</v>
      </c>
      <c r="G341" s="16" t="n">
        <f aca="false">$M$3+$M$4*B341</f>
        <v>8863.55667843908</v>
      </c>
      <c r="H341" s="17" t="n">
        <f aca="false">D341/G341</f>
        <v>1.08297383863409</v>
      </c>
      <c r="I341" s="18" t="n">
        <f aca="false">INDEX('2 Seasonal Index'!$D$3:$D$54,C341)</f>
        <v>1.05775104170879</v>
      </c>
      <c r="J341" s="16" t="n">
        <f aca="false">D341/I341</f>
        <v>9074.91424871854</v>
      </c>
      <c r="O341" s="14" t="n">
        <f aca="false">B341</f>
        <v>1691</v>
      </c>
      <c r="P341" s="16" t="n">
        <f aca="false">E341</f>
        <v>267308</v>
      </c>
      <c r="Q341" s="16" t="n">
        <f aca="false">F341</f>
        <v>236000</v>
      </c>
    </row>
    <row r="342" customFormat="false" ht="15" hidden="false" customHeight="false" outlineLevel="0" collapsed="false">
      <c r="A342" s="12" t="n">
        <v>45114</v>
      </c>
      <c r="B342" s="13" t="n">
        <v>1692</v>
      </c>
      <c r="C342" s="14" t="n">
        <f aca="false">MIN(52,INT((A342-DATE(YEAR(A342),1,1))/7)+1)</f>
        <v>27</v>
      </c>
      <c r="D342" s="15" t="n">
        <v>8756</v>
      </c>
      <c r="E342" s="15" t="n">
        <v>267308</v>
      </c>
      <c r="F342" s="15" t="n">
        <v>248000</v>
      </c>
      <c r="G342" s="16" t="n">
        <f aca="false">$M$3+$M$4*B342</f>
        <v>8862.38400350076</v>
      </c>
      <c r="H342" s="17" t="n">
        <f aca="false">D342/G342</f>
        <v>0.987996006101887</v>
      </c>
      <c r="I342" s="18" t="n">
        <f aca="false">INDEX('2 Seasonal Index'!$D$3:$D$54,C342)</f>
        <v>1.02126188503389</v>
      </c>
      <c r="J342" s="16" t="n">
        <f aca="false">D342/I342</f>
        <v>8573.70683104409</v>
      </c>
      <c r="O342" s="14" t="n">
        <f aca="false">B342</f>
        <v>1692</v>
      </c>
      <c r="P342" s="16" t="n">
        <f aca="false">E342</f>
        <v>267308</v>
      </c>
      <c r="Q342" s="16" t="n">
        <f aca="false">F342</f>
        <v>248000</v>
      </c>
    </row>
    <row r="343" customFormat="false" ht="15" hidden="false" customHeight="false" outlineLevel="0" collapsed="false">
      <c r="A343" s="12" t="n">
        <v>45121</v>
      </c>
      <c r="B343" s="13" t="n">
        <v>1693</v>
      </c>
      <c r="C343" s="14" t="n">
        <f aca="false">MIN(52,INT((A343-DATE(YEAR(A343),1,1))/7)+1)</f>
        <v>28</v>
      </c>
      <c r="D343" s="15" t="n">
        <v>8855</v>
      </c>
      <c r="E343" s="15" t="n">
        <v>267308</v>
      </c>
      <c r="F343" s="15" t="n">
        <v>230000</v>
      </c>
      <c r="G343" s="16" t="n">
        <f aca="false">$M$3+$M$4*B343</f>
        <v>8861.21132856244</v>
      </c>
      <c r="H343" s="17" t="n">
        <f aca="false">D343/G343</f>
        <v>0.999299042948855</v>
      </c>
      <c r="I343" s="18" t="n">
        <f aca="false">INDEX('2 Seasonal Index'!$D$3:$D$54,C343)</f>
        <v>1.01350902481598</v>
      </c>
      <c r="J343" s="16" t="n">
        <f aca="false">D343/I343</f>
        <v>8736.97202805647</v>
      </c>
      <c r="O343" s="14" t="n">
        <f aca="false">B343</f>
        <v>1693</v>
      </c>
      <c r="P343" s="16" t="n">
        <f aca="false">E343</f>
        <v>267308</v>
      </c>
      <c r="Q343" s="16" t="n">
        <f aca="false">F343</f>
        <v>230000</v>
      </c>
    </row>
    <row r="344" customFormat="false" ht="15" hidden="false" customHeight="false" outlineLevel="0" collapsed="false">
      <c r="A344" s="12" t="n">
        <v>45128</v>
      </c>
      <c r="B344" s="13" t="n">
        <v>1694</v>
      </c>
      <c r="C344" s="14" t="n">
        <f aca="false">MIN(52,INT((A344-DATE(YEAR(A344),1,1))/7)+1)</f>
        <v>29</v>
      </c>
      <c r="D344" s="15" t="n">
        <v>8939</v>
      </c>
      <c r="E344" s="15" t="n">
        <v>288661</v>
      </c>
      <c r="F344" s="15" t="n">
        <v>229000</v>
      </c>
      <c r="G344" s="16" t="n">
        <f aca="false">$M$3+$M$4*B344</f>
        <v>8860.03865362412</v>
      </c>
      <c r="H344" s="17" t="n">
        <f aca="false">D344/G344</f>
        <v>1.00891207696296</v>
      </c>
      <c r="I344" s="18" t="n">
        <f aca="false">INDEX('2 Seasonal Index'!$D$3:$D$54,C344)</f>
        <v>1.05195667886475</v>
      </c>
      <c r="J344" s="16" t="n">
        <f aca="false">D344/I344</f>
        <v>8497.4982141344</v>
      </c>
      <c r="O344" s="14" t="n">
        <f aca="false">B344</f>
        <v>1694</v>
      </c>
      <c r="P344" s="16" t="n">
        <f aca="false">E344</f>
        <v>288661</v>
      </c>
      <c r="Q344" s="16" t="n">
        <f aca="false">F344</f>
        <v>229000</v>
      </c>
    </row>
    <row r="345" customFormat="false" ht="15" hidden="false" customHeight="false" outlineLevel="0" collapsed="false">
      <c r="A345" s="12" t="n">
        <v>45135</v>
      </c>
      <c r="B345" s="13" t="n">
        <v>1695</v>
      </c>
      <c r="C345" s="14" t="n">
        <f aca="false">MIN(52,INT((A345-DATE(YEAR(A345),1,1))/7)+1)</f>
        <v>30</v>
      </c>
      <c r="D345" s="15" t="n">
        <v>8838</v>
      </c>
      <c r="E345" s="15" t="n">
        <v>288661</v>
      </c>
      <c r="F345" s="15" t="n">
        <v>231000</v>
      </c>
      <c r="G345" s="16" t="n">
        <f aca="false">$M$3+$M$4*B345</f>
        <v>8858.8659786858</v>
      </c>
      <c r="H345" s="17" t="n">
        <f aca="false">D345/G345</f>
        <v>0.997644621926102</v>
      </c>
      <c r="I345" s="18" t="n">
        <f aca="false">INDEX('2 Seasonal Index'!$D$3:$D$54,C345)</f>
        <v>1.03171304153628</v>
      </c>
      <c r="J345" s="16" t="n">
        <f aca="false">D345/I345</f>
        <v>8566.33544812007</v>
      </c>
      <c r="O345" s="14" t="n">
        <f aca="false">B345</f>
        <v>1695</v>
      </c>
      <c r="P345" s="16" t="n">
        <f aca="false">E345</f>
        <v>288661</v>
      </c>
      <c r="Q345" s="16" t="n">
        <f aca="false">F345</f>
        <v>231000</v>
      </c>
    </row>
    <row r="346" customFormat="false" ht="15" hidden="false" customHeight="false" outlineLevel="0" collapsed="false">
      <c r="A346" s="12" t="n">
        <v>45142</v>
      </c>
      <c r="B346" s="13" t="n">
        <v>1696</v>
      </c>
      <c r="C346" s="14" t="n">
        <f aca="false">MIN(52,INT((A346-DATE(YEAR(A346),1,1))/7)+1)</f>
        <v>31</v>
      </c>
      <c r="D346" s="15" t="n">
        <v>9302</v>
      </c>
      <c r="E346" s="15" t="n">
        <v>288661</v>
      </c>
      <c r="F346" s="15" t="n">
        <v>238000</v>
      </c>
      <c r="G346" s="16" t="n">
        <f aca="false">$M$3+$M$4*B346</f>
        <v>8857.69330374748</v>
      </c>
      <c r="H346" s="17" t="n">
        <f aca="false">D346/G346</f>
        <v>1.05016054191722</v>
      </c>
      <c r="I346" s="18" t="n">
        <f aca="false">INDEX('2 Seasonal Index'!$D$3:$D$54,C346)</f>
        <v>1.03997322006122</v>
      </c>
      <c r="J346" s="16" t="n">
        <f aca="false">D346/I346</f>
        <v>8944.46108857729</v>
      </c>
      <c r="O346" s="14" t="n">
        <f aca="false">B346</f>
        <v>1696</v>
      </c>
      <c r="P346" s="16" t="n">
        <f aca="false">E346</f>
        <v>288661</v>
      </c>
      <c r="Q346" s="16" t="n">
        <f aca="false">F346</f>
        <v>238000</v>
      </c>
    </row>
    <row r="347" customFormat="false" ht="15" hidden="false" customHeight="false" outlineLevel="0" collapsed="false">
      <c r="A347" s="12" t="n">
        <v>45149</v>
      </c>
      <c r="B347" s="13" t="n">
        <v>1697</v>
      </c>
      <c r="C347" s="14" t="n">
        <f aca="false">MIN(52,INT((A347-DATE(YEAR(A347),1,1))/7)+1)</f>
        <v>32</v>
      </c>
      <c r="D347" s="15" t="n">
        <v>8851</v>
      </c>
      <c r="E347" s="15" t="n">
        <v>288661</v>
      </c>
      <c r="F347" s="15" t="n">
        <v>258000</v>
      </c>
      <c r="G347" s="16" t="n">
        <f aca="false">$M$3+$M$4*B347</f>
        <v>8856.52062880916</v>
      </c>
      <c r="H347" s="17" t="n">
        <f aca="false">D347/G347</f>
        <v>0.9993766594083</v>
      </c>
      <c r="I347" s="18" t="n">
        <f aca="false">INDEX('2 Seasonal Index'!$D$3:$D$54,C347)</f>
        <v>1.04061693174176</v>
      </c>
      <c r="J347" s="16" t="n">
        <f aca="false">D347/I347</f>
        <v>8505.5314112422</v>
      </c>
      <c r="O347" s="14" t="n">
        <f aca="false">B347</f>
        <v>1697</v>
      </c>
      <c r="P347" s="16" t="n">
        <f aca="false">E347</f>
        <v>288661</v>
      </c>
      <c r="Q347" s="16" t="n">
        <f aca="false">F347</f>
        <v>258000</v>
      </c>
    </row>
    <row r="348" customFormat="false" ht="15" hidden="false" customHeight="false" outlineLevel="0" collapsed="false">
      <c r="A348" s="12" t="n">
        <v>45156</v>
      </c>
      <c r="B348" s="13" t="n">
        <v>1698</v>
      </c>
      <c r="C348" s="14" t="n">
        <f aca="false">MIN(52,INT((A348-DATE(YEAR(A348),1,1))/7)+1)</f>
        <v>33</v>
      </c>
      <c r="D348" s="15" t="n">
        <v>8910</v>
      </c>
      <c r="E348" s="15" t="n">
        <v>284123</v>
      </c>
      <c r="F348" s="15" t="n">
        <v>248000</v>
      </c>
      <c r="G348" s="16" t="n">
        <f aca="false">$M$3+$M$4*B348</f>
        <v>8855.34795387085</v>
      </c>
      <c r="H348" s="17" t="n">
        <f aca="false">D348/G348</f>
        <v>1.00617164299064</v>
      </c>
      <c r="I348" s="18" t="n">
        <f aca="false">INDEX('2 Seasonal Index'!$D$3:$D$54,C348)</f>
        <v>1.02747806583438</v>
      </c>
      <c r="J348" s="16" t="n">
        <f aca="false">D348/I348</f>
        <v>8671.71796291778</v>
      </c>
      <c r="O348" s="14" t="n">
        <f aca="false">B348</f>
        <v>1698</v>
      </c>
      <c r="P348" s="16" t="n">
        <f aca="false">E348</f>
        <v>284123</v>
      </c>
      <c r="Q348" s="16" t="n">
        <f aca="false">F348</f>
        <v>248000</v>
      </c>
    </row>
    <row r="349" customFormat="false" ht="15" hidden="false" customHeight="false" outlineLevel="0" collapsed="false">
      <c r="A349" s="12" t="n">
        <v>45163</v>
      </c>
      <c r="B349" s="13" t="n">
        <v>1699</v>
      </c>
      <c r="C349" s="14" t="n">
        <f aca="false">MIN(52,INT((A349-DATE(YEAR(A349),1,1))/7)+1)</f>
        <v>34</v>
      </c>
      <c r="D349" s="15" t="n">
        <v>9068</v>
      </c>
      <c r="E349" s="15" t="n">
        <v>284123</v>
      </c>
      <c r="F349" s="15" t="n">
        <v>240000</v>
      </c>
      <c r="G349" s="16" t="n">
        <f aca="false">$M$3+$M$4*B349</f>
        <v>8854.17527893253</v>
      </c>
      <c r="H349" s="17" t="n">
        <f aca="false">D349/G349</f>
        <v>1.02414959206604</v>
      </c>
      <c r="I349" s="18" t="n">
        <f aca="false">INDEX('2 Seasonal Index'!$D$3:$D$54,C349)</f>
        <v>1.03816398467415</v>
      </c>
      <c r="J349" s="16" t="n">
        <f aca="false">D349/I349</f>
        <v>8734.65091629645</v>
      </c>
      <c r="O349" s="14" t="n">
        <f aca="false">B349</f>
        <v>1699</v>
      </c>
      <c r="P349" s="16" t="n">
        <f aca="false">E349</f>
        <v>284123</v>
      </c>
      <c r="Q349" s="16" t="n">
        <f aca="false">F349</f>
        <v>240000</v>
      </c>
    </row>
    <row r="350" customFormat="false" ht="15" hidden="false" customHeight="false" outlineLevel="0" collapsed="false">
      <c r="A350" s="12" t="n">
        <v>45170</v>
      </c>
      <c r="B350" s="13" t="n">
        <v>1700</v>
      </c>
      <c r="C350" s="14" t="n">
        <f aca="false">MIN(52,INT((A350-DATE(YEAR(A350),1,1))/7)+1)</f>
        <v>35</v>
      </c>
      <c r="D350" s="15" t="n">
        <v>9321</v>
      </c>
      <c r="E350" s="15" t="n">
        <v>284123</v>
      </c>
      <c r="F350" s="15" t="n">
        <v>234000</v>
      </c>
      <c r="G350" s="16" t="n">
        <f aca="false">$M$3+$M$4*B350</f>
        <v>8853.00260399421</v>
      </c>
      <c r="H350" s="17" t="n">
        <f aca="false">D350/G350</f>
        <v>1.05286312643742</v>
      </c>
      <c r="I350" s="18" t="n">
        <f aca="false">INDEX('2 Seasonal Index'!$D$3:$D$54,C350)</f>
        <v>1.02246595866814</v>
      </c>
      <c r="J350" s="16" t="n">
        <f aca="false">D350/I350</f>
        <v>9116.19591926708</v>
      </c>
      <c r="O350" s="14" t="n">
        <f aca="false">B350</f>
        <v>1700</v>
      </c>
      <c r="P350" s="16" t="n">
        <f aca="false">E350</f>
        <v>284123</v>
      </c>
      <c r="Q350" s="16" t="n">
        <f aca="false">F350</f>
        <v>234000</v>
      </c>
    </row>
    <row r="351" customFormat="false" ht="15" hidden="false" customHeight="false" outlineLevel="0" collapsed="false">
      <c r="A351" s="12" t="n">
        <v>45177</v>
      </c>
      <c r="B351" s="13" t="n">
        <v>1701</v>
      </c>
      <c r="C351" s="14" t="n">
        <f aca="false">MIN(52,INT((A351-DATE(YEAR(A351),1,1))/7)+1)</f>
        <v>36</v>
      </c>
      <c r="D351" s="15" t="n">
        <v>8307</v>
      </c>
      <c r="E351" s="15" t="n">
        <v>284123</v>
      </c>
      <c r="F351" s="15" t="n">
        <v>225000</v>
      </c>
      <c r="G351" s="16" t="n">
        <f aca="false">$M$3+$M$4*B351</f>
        <v>8851.82992905589</v>
      </c>
      <c r="H351" s="17" t="n">
        <f aca="false">D351/G351</f>
        <v>0.938450022941867</v>
      </c>
      <c r="I351" s="18" t="n">
        <f aca="false">INDEX('2 Seasonal Index'!$D$3:$D$54,C351)</f>
        <v>1.00361083828068</v>
      </c>
      <c r="J351" s="16" t="n">
        <f aca="false">D351/I351</f>
        <v>8277.11268466475</v>
      </c>
      <c r="O351" s="14" t="n">
        <f aca="false">B351</f>
        <v>1701</v>
      </c>
      <c r="P351" s="16" t="n">
        <f aca="false">E351</f>
        <v>284123</v>
      </c>
      <c r="Q351" s="16" t="n">
        <f aca="false">F351</f>
        <v>225000</v>
      </c>
    </row>
    <row r="352" customFormat="false" ht="15" hidden="false" customHeight="false" outlineLevel="0" collapsed="false">
      <c r="A352" s="12" t="n">
        <v>45184</v>
      </c>
      <c r="B352" s="13" t="n">
        <v>1702</v>
      </c>
      <c r="C352" s="14" t="n">
        <f aca="false">MIN(52,INT((A352-DATE(YEAR(A352),1,1))/7)+1)</f>
        <v>37</v>
      </c>
      <c r="D352" s="15" t="n">
        <v>8410</v>
      </c>
      <c r="E352" s="15" t="n">
        <v>287583</v>
      </c>
      <c r="F352" s="15" t="n">
        <v>225000</v>
      </c>
      <c r="G352" s="16" t="n">
        <f aca="false">$M$3+$M$4*B352</f>
        <v>8850.65725411757</v>
      </c>
      <c r="H352" s="17" t="n">
        <f aca="false">D352/G352</f>
        <v>0.95021191743556</v>
      </c>
      <c r="I352" s="18" t="n">
        <f aca="false">INDEX('2 Seasonal Index'!$D$3:$D$54,C352)</f>
        <v>0.988109440121203</v>
      </c>
      <c r="J352" s="16" t="n">
        <f aca="false">D352/I352</f>
        <v>8511.20296853799</v>
      </c>
      <c r="O352" s="14" t="n">
        <f aca="false">B352</f>
        <v>1702</v>
      </c>
      <c r="P352" s="16" t="n">
        <f aca="false">E352</f>
        <v>287583</v>
      </c>
      <c r="Q352" s="16" t="n">
        <f aca="false">F352</f>
        <v>225000</v>
      </c>
    </row>
    <row r="353" customFormat="false" ht="15" hidden="false" customHeight="false" outlineLevel="0" collapsed="false">
      <c r="A353" s="12" t="n">
        <v>45191</v>
      </c>
      <c r="B353" s="13" t="n">
        <v>1703</v>
      </c>
      <c r="C353" s="14" t="n">
        <f aca="false">MIN(52,INT((A353-DATE(YEAR(A353),1,1))/7)+1)</f>
        <v>38</v>
      </c>
      <c r="D353" s="15" t="n">
        <v>8619</v>
      </c>
      <c r="E353" s="15" t="n">
        <v>287583</v>
      </c>
      <c r="F353" s="15" t="n">
        <v>211000</v>
      </c>
      <c r="G353" s="16" t="n">
        <f aca="false">$M$3+$M$4*B353</f>
        <v>8849.48457917925</v>
      </c>
      <c r="H353" s="17" t="n">
        <f aca="false">D353/G353</f>
        <v>0.973955027875688</v>
      </c>
      <c r="I353" s="18" t="n">
        <f aca="false">INDEX('2 Seasonal Index'!$D$3:$D$54,C353)</f>
        <v>1.00996081852754</v>
      </c>
      <c r="J353" s="16" t="n">
        <f aca="false">D353/I353</f>
        <v>8533.99443016611</v>
      </c>
      <c r="O353" s="14" t="n">
        <f aca="false">B353</f>
        <v>1703</v>
      </c>
      <c r="P353" s="16" t="n">
        <f aca="false">E353</f>
        <v>287583</v>
      </c>
      <c r="Q353" s="16" t="n">
        <f aca="false">F353</f>
        <v>211000</v>
      </c>
    </row>
    <row r="354" customFormat="false" ht="15" hidden="false" customHeight="false" outlineLevel="0" collapsed="false">
      <c r="A354" s="12" t="n">
        <v>45198</v>
      </c>
      <c r="B354" s="13" t="n">
        <v>1704</v>
      </c>
      <c r="C354" s="14" t="n">
        <f aca="false">MIN(52,INT((A354-DATE(YEAR(A354),1,1))/7)+1)</f>
        <v>39</v>
      </c>
      <c r="D354" s="15" t="n">
        <v>8014</v>
      </c>
      <c r="E354" s="15" t="n">
        <v>287583</v>
      </c>
      <c r="F354" s="15" t="n">
        <v>216000</v>
      </c>
      <c r="G354" s="16" t="n">
        <f aca="false">$M$3+$M$4*B354</f>
        <v>8848.31190424093</v>
      </c>
      <c r="H354" s="17" t="n">
        <f aca="false">D354/G354</f>
        <v>0.90570948297595</v>
      </c>
      <c r="I354" s="18" t="n">
        <f aca="false">INDEX('2 Seasonal Index'!$D$3:$D$54,C354)</f>
        <v>0.982712197281613</v>
      </c>
      <c r="J354" s="16" t="n">
        <f aca="false">D354/I354</f>
        <v>8154.98171506205</v>
      </c>
      <c r="O354" s="14" t="n">
        <f aca="false">B354</f>
        <v>1704</v>
      </c>
      <c r="P354" s="16" t="n">
        <f aca="false">E354</f>
        <v>287583</v>
      </c>
      <c r="Q354" s="16" t="n">
        <f aca="false">F354</f>
        <v>216000</v>
      </c>
    </row>
    <row r="355" customFormat="false" ht="15" hidden="false" customHeight="false" outlineLevel="0" collapsed="false">
      <c r="A355" s="12" t="n">
        <v>45205</v>
      </c>
      <c r="B355" s="13" t="n">
        <v>1705</v>
      </c>
      <c r="C355" s="14" t="n">
        <f aca="false">MIN(52,INT((A355-DATE(YEAR(A355),1,1))/7)+1)</f>
        <v>40</v>
      </c>
      <c r="D355" s="15" t="n">
        <v>8581</v>
      </c>
      <c r="E355" s="15" t="n">
        <v>287583</v>
      </c>
      <c r="F355" s="15" t="n">
        <v>216000</v>
      </c>
      <c r="G355" s="16" t="n">
        <f aca="false">$M$3+$M$4*B355</f>
        <v>8847.13922930261</v>
      </c>
      <c r="H355" s="17" t="n">
        <f aca="false">D355/G355</f>
        <v>0.969918046680996</v>
      </c>
      <c r="I355" s="18" t="n">
        <f aca="false">INDEX('2 Seasonal Index'!$D$3:$D$54,C355)</f>
        <v>1.0036663428041</v>
      </c>
      <c r="J355" s="16" t="n">
        <f aca="false">D355/I355</f>
        <v>8549.6540374423</v>
      </c>
      <c r="O355" s="14" t="n">
        <f aca="false">B355</f>
        <v>1705</v>
      </c>
      <c r="P355" s="16" t="n">
        <f aca="false">E355</f>
        <v>287583</v>
      </c>
      <c r="Q355" s="16" t="n">
        <f aca="false">F355</f>
        <v>216000</v>
      </c>
    </row>
    <row r="356" customFormat="false" ht="15" hidden="false" customHeight="false" outlineLevel="0" collapsed="false">
      <c r="A356" s="12" t="n">
        <v>45212</v>
      </c>
      <c r="B356" s="13" t="n">
        <v>1706</v>
      </c>
      <c r="C356" s="14" t="n">
        <f aca="false">MIN(52,INT((A356-DATE(YEAR(A356),1,1))/7)+1)</f>
        <v>41</v>
      </c>
      <c r="D356" s="15" t="n">
        <v>8943</v>
      </c>
      <c r="E356" s="15" t="n">
        <v>287583</v>
      </c>
      <c r="F356" s="15" t="n">
        <v>210000</v>
      </c>
      <c r="G356" s="16" t="n">
        <f aca="false">$M$3+$M$4*B356</f>
        <v>8845.96655436429</v>
      </c>
      <c r="H356" s="17" t="n">
        <f aca="false">D356/G356</f>
        <v>1.01096923044411</v>
      </c>
      <c r="I356" s="18" t="n">
        <f aca="false">INDEX('2 Seasonal Index'!$D$3:$D$54,C356)</f>
        <v>0.995835782550445</v>
      </c>
      <c r="J356" s="16" t="n">
        <f aca="false">D356/I356</f>
        <v>8980.39632307246</v>
      </c>
      <c r="O356" s="14" t="n">
        <f aca="false">B356</f>
        <v>1706</v>
      </c>
      <c r="P356" s="16" t="n">
        <f aca="false">E356</f>
        <v>287583</v>
      </c>
      <c r="Q356" s="16" t="n">
        <f aca="false">F356</f>
        <v>210000</v>
      </c>
    </row>
    <row r="357" customFormat="false" ht="15" hidden="false" customHeight="false" outlineLevel="0" collapsed="false">
      <c r="A357" s="12" t="n">
        <v>45219</v>
      </c>
      <c r="B357" s="13" t="n">
        <v>1707</v>
      </c>
      <c r="C357" s="14" t="n">
        <f aca="false">MIN(52,INT((A357-DATE(YEAR(A357),1,1))/7)+1)</f>
        <v>42</v>
      </c>
      <c r="D357" s="15" t="n">
        <v>8864</v>
      </c>
      <c r="E357" s="15" t="n">
        <v>288849</v>
      </c>
      <c r="F357" s="15" t="n">
        <v>200000</v>
      </c>
      <c r="G357" s="16" t="n">
        <f aca="false">$M$3+$M$4*B357</f>
        <v>8844.79387942597</v>
      </c>
      <c r="H357" s="17" t="n">
        <f aca="false">D357/G357</f>
        <v>1.00217146050387</v>
      </c>
      <c r="I357" s="18" t="n">
        <f aca="false">INDEX('2 Seasonal Index'!$D$3:$D$54,C357)</f>
        <v>1.00307364557144</v>
      </c>
      <c r="J357" s="16" t="n">
        <f aca="false">D357/I357</f>
        <v>8836.83868989524</v>
      </c>
      <c r="O357" s="14" t="n">
        <f aca="false">B357</f>
        <v>1707</v>
      </c>
      <c r="P357" s="16" t="n">
        <f aca="false">E357</f>
        <v>288849</v>
      </c>
      <c r="Q357" s="16" t="n">
        <f aca="false">F357</f>
        <v>200000</v>
      </c>
    </row>
    <row r="358" customFormat="false" ht="15" hidden="false" customHeight="false" outlineLevel="0" collapsed="false">
      <c r="A358" s="12" t="n">
        <v>45226</v>
      </c>
      <c r="B358" s="13" t="n">
        <v>1708</v>
      </c>
      <c r="C358" s="14" t="n">
        <f aca="false">MIN(52,INT((A358-DATE(YEAR(A358),1,1))/7)+1)</f>
        <v>43</v>
      </c>
      <c r="D358" s="15" t="n">
        <v>8697</v>
      </c>
      <c r="E358" s="15" t="n">
        <v>288849</v>
      </c>
      <c r="F358" s="15" t="n">
        <v>214000</v>
      </c>
      <c r="G358" s="16" t="n">
        <f aca="false">$M$3+$M$4*B358</f>
        <v>8843.62120448765</v>
      </c>
      <c r="H358" s="17" t="n">
        <f aca="false">D358/G358</f>
        <v>0.983420682422122</v>
      </c>
      <c r="I358" s="18" t="n">
        <f aca="false">INDEX('2 Seasonal Index'!$D$3:$D$54,C358)</f>
        <v>1.01224087755293</v>
      </c>
      <c r="J358" s="16" t="n">
        <f aca="false">D358/I358</f>
        <v>8591.8284796251</v>
      </c>
      <c r="O358" s="14" t="n">
        <f aca="false">B358</f>
        <v>1708</v>
      </c>
      <c r="P358" s="16" t="n">
        <f aca="false">E358</f>
        <v>288849</v>
      </c>
      <c r="Q358" s="16" t="n">
        <f aca="false">F358</f>
        <v>214000</v>
      </c>
    </row>
    <row r="359" customFormat="false" ht="15" hidden="false" customHeight="false" outlineLevel="0" collapsed="false">
      <c r="A359" s="12" t="n">
        <v>45233</v>
      </c>
      <c r="B359" s="13" t="n">
        <v>1709</v>
      </c>
      <c r="C359" s="14" t="n">
        <f aca="false">MIN(52,INT((A359-DATE(YEAR(A359),1,1))/7)+1)</f>
        <v>44</v>
      </c>
      <c r="D359" s="15" t="n">
        <v>9492</v>
      </c>
      <c r="E359" s="15" t="n">
        <v>288849</v>
      </c>
      <c r="F359" s="15" t="n">
        <v>217000</v>
      </c>
      <c r="G359" s="16" t="n">
        <f aca="false">$M$3+$M$4*B359</f>
        <v>8842.44852954934</v>
      </c>
      <c r="H359" s="17" t="n">
        <f aca="false">D359/G359</f>
        <v>1.07345832642169</v>
      </c>
      <c r="I359" s="18" t="n">
        <f aca="false">INDEX('2 Seasonal Index'!$D$3:$D$54,C359)</f>
        <v>1.01203159220993</v>
      </c>
      <c r="J359" s="16" t="n">
        <f aca="false">D359/I359</f>
        <v>9379.15384565486</v>
      </c>
      <c r="O359" s="14" t="n">
        <f aca="false">B359</f>
        <v>1709</v>
      </c>
      <c r="P359" s="16" t="n">
        <f aca="false">E359</f>
        <v>288849</v>
      </c>
      <c r="Q359" s="16" t="n">
        <f aca="false">F359</f>
        <v>217000</v>
      </c>
    </row>
    <row r="360" customFormat="false" ht="15" hidden="false" customHeight="false" outlineLevel="0" collapsed="false">
      <c r="A360" s="12" t="n">
        <v>45240</v>
      </c>
      <c r="B360" s="13" t="n">
        <v>1710</v>
      </c>
      <c r="C360" s="14" t="n">
        <f aca="false">MIN(52,INT((A360-DATE(YEAR(A360),1,1))/7)+1)</f>
        <v>45</v>
      </c>
      <c r="D360" s="15" t="n">
        <v>8949</v>
      </c>
      <c r="E360" s="15" t="n">
        <v>288849</v>
      </c>
      <c r="F360" s="15" t="n">
        <v>216000</v>
      </c>
      <c r="G360" s="16" t="n">
        <f aca="false">$M$3+$M$4*B360</f>
        <v>8841.27585461102</v>
      </c>
      <c r="H360" s="17" t="n">
        <f aca="false">D360/G360</f>
        <v>1.0121842307785</v>
      </c>
      <c r="I360" s="18" t="n">
        <f aca="false">INDEX('2 Seasonal Index'!$D$3:$D$54,C360)</f>
        <v>1.01104078083898</v>
      </c>
      <c r="J360" s="16" t="n">
        <f aca="false">D360/I360</f>
        <v>8851.27501244213</v>
      </c>
      <c r="O360" s="14" t="n">
        <f aca="false">B360</f>
        <v>1710</v>
      </c>
      <c r="P360" s="16" t="n">
        <f aca="false">E360</f>
        <v>288849</v>
      </c>
      <c r="Q360" s="16" t="n">
        <f aca="false">F360</f>
        <v>216000</v>
      </c>
    </row>
    <row r="361" customFormat="false" ht="15" hidden="false" customHeight="false" outlineLevel="0" collapsed="false">
      <c r="A361" s="12" t="n">
        <v>45247</v>
      </c>
      <c r="B361" s="13" t="n">
        <v>1711</v>
      </c>
      <c r="C361" s="14" t="n">
        <f aca="false">MIN(52,INT((A361-DATE(YEAR(A361),1,1))/7)+1)</f>
        <v>46</v>
      </c>
      <c r="D361" s="15" t="n">
        <v>8480</v>
      </c>
      <c r="E361" s="15" t="n">
        <v>273125</v>
      </c>
      <c r="F361" s="15" t="n">
        <v>230000</v>
      </c>
      <c r="G361" s="16" t="n">
        <f aca="false">$M$3+$M$4*B361</f>
        <v>8840.1031796727</v>
      </c>
      <c r="H361" s="17" t="n">
        <f aca="false">D361/G361</f>
        <v>0.959264821648153</v>
      </c>
      <c r="I361" s="18" t="n">
        <f aca="false">INDEX('2 Seasonal Index'!$D$3:$D$54,C361)</f>
        <v>0.986356106092814</v>
      </c>
      <c r="J361" s="16" t="n">
        <f aca="false">D361/I361</f>
        <v>8597.30065806685</v>
      </c>
      <c r="O361" s="14" t="n">
        <f aca="false">B361</f>
        <v>1711</v>
      </c>
      <c r="P361" s="16" t="n">
        <f aca="false">E361</f>
        <v>273125</v>
      </c>
      <c r="Q361" s="16" t="n">
        <f aca="false">F361</f>
        <v>230000</v>
      </c>
    </row>
    <row r="362" customFormat="false" ht="15" hidden="false" customHeight="false" outlineLevel="0" collapsed="false">
      <c r="A362" s="12" t="n">
        <v>45254</v>
      </c>
      <c r="B362" s="13" t="n">
        <v>1712</v>
      </c>
      <c r="C362" s="14" t="n">
        <f aca="false">MIN(52,INT((A362-DATE(YEAR(A362),1,1))/7)+1)</f>
        <v>47</v>
      </c>
      <c r="D362" s="15" t="n">
        <v>8206</v>
      </c>
      <c r="E362" s="15" t="n">
        <v>273125</v>
      </c>
      <c r="F362" s="15" t="n">
        <v>213000</v>
      </c>
      <c r="G362" s="16" t="n">
        <f aca="false">$M$3+$M$4*B362</f>
        <v>8838.93050473438</v>
      </c>
      <c r="H362" s="17" t="n">
        <f aca="false">D362/G362</f>
        <v>0.92839286332262</v>
      </c>
      <c r="I362" s="18" t="n">
        <f aca="false">INDEX('2 Seasonal Index'!$D$3:$D$54,C362)</f>
        <v>0.965789408729148</v>
      </c>
      <c r="J362" s="16" t="n">
        <f aca="false">D362/I362</f>
        <v>8496.67632077061</v>
      </c>
      <c r="O362" s="14" t="n">
        <f aca="false">B362</f>
        <v>1712</v>
      </c>
      <c r="P362" s="16" t="n">
        <f aca="false">E362</f>
        <v>273125</v>
      </c>
      <c r="Q362" s="16" t="n">
        <f aca="false">F362</f>
        <v>213000</v>
      </c>
    </row>
    <row r="363" customFormat="false" ht="15" hidden="false" customHeight="false" outlineLevel="0" collapsed="false">
      <c r="A363" s="12" t="n">
        <v>45261</v>
      </c>
      <c r="B363" s="13" t="n">
        <v>1713</v>
      </c>
      <c r="C363" s="14" t="n">
        <f aca="false">MIN(52,INT((A363-DATE(YEAR(A363),1,1))/7)+1)</f>
        <v>48</v>
      </c>
      <c r="D363" s="15" t="n">
        <v>8466</v>
      </c>
      <c r="E363" s="15" t="n">
        <v>273125</v>
      </c>
      <c r="F363" s="15" t="n">
        <v>213000</v>
      </c>
      <c r="G363" s="16" t="n">
        <f aca="false">$M$3+$M$4*B363</f>
        <v>8837.75782979606</v>
      </c>
      <c r="H363" s="17" t="n">
        <f aca="false">D363/G363</f>
        <v>0.957935277594652</v>
      </c>
      <c r="I363" s="18" t="n">
        <f aca="false">INDEX('2 Seasonal Index'!$D$3:$D$54,C363)</f>
        <v>0.974753768618106</v>
      </c>
      <c r="J363" s="16" t="n">
        <f aca="false">D363/I363</f>
        <v>8685.27034473754</v>
      </c>
      <c r="O363" s="14" t="n">
        <f aca="false">B363</f>
        <v>1713</v>
      </c>
      <c r="P363" s="16" t="n">
        <f aca="false">E363</f>
        <v>273125</v>
      </c>
      <c r="Q363" s="16" t="n">
        <f aca="false">F363</f>
        <v>213000</v>
      </c>
    </row>
    <row r="364" customFormat="false" ht="15" hidden="false" customHeight="false" outlineLevel="0" collapsed="false">
      <c r="A364" s="12" t="n">
        <v>45268</v>
      </c>
      <c r="B364" s="13" t="n">
        <v>1714</v>
      </c>
      <c r="C364" s="14" t="n">
        <f aca="false">MIN(52,INT((A364-DATE(YEAR(A364),1,1))/7)+1)</f>
        <v>49</v>
      </c>
      <c r="D364" s="15" t="n">
        <v>8859</v>
      </c>
      <c r="E364" s="15" t="n">
        <v>273125</v>
      </c>
      <c r="F364" s="15" t="n">
        <v>215000</v>
      </c>
      <c r="G364" s="16" t="n">
        <f aca="false">$M$3+$M$4*B364</f>
        <v>8836.58515485774</v>
      </c>
      <c r="H364" s="17" t="n">
        <f aca="false">D364/G364</f>
        <v>1.00253659583985</v>
      </c>
      <c r="I364" s="18" t="n">
        <f aca="false">INDEX('2 Seasonal Index'!$D$3:$D$54,C364)</f>
        <v>0.980293720669235</v>
      </c>
      <c r="J364" s="16" t="n">
        <f aca="false">D364/I364</f>
        <v>9037.08736801054</v>
      </c>
      <c r="O364" s="14" t="n">
        <f aca="false">B364</f>
        <v>1714</v>
      </c>
      <c r="P364" s="16" t="n">
        <f aca="false">E364</f>
        <v>273125</v>
      </c>
      <c r="Q364" s="16" t="n">
        <f aca="false">F364</f>
        <v>215000</v>
      </c>
    </row>
    <row r="365" customFormat="false" ht="15" hidden="false" customHeight="false" outlineLevel="0" collapsed="false">
      <c r="A365" s="12" t="n">
        <v>45275</v>
      </c>
      <c r="B365" s="13" t="n">
        <v>1715</v>
      </c>
      <c r="C365" s="14" t="n">
        <f aca="false">MIN(52,INT((A365-DATE(YEAR(A365),1,1))/7)+1)</f>
        <v>50</v>
      </c>
      <c r="D365" s="15" t="n">
        <v>8754</v>
      </c>
      <c r="E365" s="15" t="n">
        <v>273125</v>
      </c>
      <c r="F365" s="15" t="n">
        <v>203000</v>
      </c>
      <c r="G365" s="16" t="n">
        <f aca="false">$M$3+$M$4*B365</f>
        <v>8835.41247991942</v>
      </c>
      <c r="H365" s="17" t="n">
        <f aca="false">D365/G365</f>
        <v>0.990785661664982</v>
      </c>
      <c r="I365" s="18" t="n">
        <f aca="false">INDEX('2 Seasonal Index'!$D$3:$D$54,C365)</f>
        <v>1.00060911532618</v>
      </c>
      <c r="J365" s="16" t="n">
        <f aca="false">D365/I365</f>
        <v>8748.67105037951</v>
      </c>
      <c r="O365" s="14" t="n">
        <f aca="false">B365</f>
        <v>1715</v>
      </c>
      <c r="P365" s="16" t="n">
        <f aca="false">E365</f>
        <v>273125</v>
      </c>
      <c r="Q365" s="16" t="n">
        <f aca="false">F365</f>
        <v>203000</v>
      </c>
    </row>
    <row r="366" customFormat="false" ht="15" hidden="false" customHeight="false" outlineLevel="0" collapsed="false">
      <c r="A366" s="12" t="n">
        <v>45282</v>
      </c>
      <c r="B366" s="13" t="n">
        <v>1716</v>
      </c>
      <c r="C366" s="14" t="n">
        <f aca="false">MIN(52,INT((A366-DATE(YEAR(A366),1,1))/7)+1)</f>
        <v>51</v>
      </c>
      <c r="D366" s="15" t="n">
        <v>9168</v>
      </c>
      <c r="E366" s="15" t="n">
        <v>280549</v>
      </c>
      <c r="F366" s="15" t="n">
        <v>209000</v>
      </c>
      <c r="G366" s="16" t="n">
        <f aca="false">$M$3+$M$4*B366</f>
        <v>8834.2398049811</v>
      </c>
      <c r="H366" s="17" t="n">
        <f aca="false">D366/G366</f>
        <v>1.03778029602849</v>
      </c>
      <c r="I366" s="18" t="n">
        <f aca="false">INDEX('2 Seasonal Index'!$D$3:$D$54,C366)</f>
        <v>1.02197331378228</v>
      </c>
      <c r="J366" s="16" t="n">
        <f aca="false">D366/I366</f>
        <v>8970.8800380214</v>
      </c>
      <c r="O366" s="14" t="n">
        <f aca="false">B366</f>
        <v>1716</v>
      </c>
      <c r="P366" s="16" t="n">
        <f aca="false">E366</f>
        <v>280549</v>
      </c>
      <c r="Q366" s="16" t="n">
        <f aca="false">F366</f>
        <v>209000</v>
      </c>
    </row>
    <row r="367" customFormat="false" ht="15" hidden="false" customHeight="false" outlineLevel="0" collapsed="false">
      <c r="A367" s="12" t="n">
        <v>45289</v>
      </c>
      <c r="B367" s="13" t="n">
        <v>1717</v>
      </c>
      <c r="C367" s="14" t="n">
        <f aca="false">MIN(52,INT((A367-DATE(YEAR(A367),1,1))/7)+1)</f>
        <v>52</v>
      </c>
      <c r="D367" s="15" t="n">
        <v>7954</v>
      </c>
      <c r="E367" s="15" t="n">
        <v>280549</v>
      </c>
      <c r="F367" s="15" t="n">
        <v>212000</v>
      </c>
      <c r="G367" s="16" t="n">
        <f aca="false">$M$3+$M$4*B367</f>
        <v>8833.06713004278</v>
      </c>
      <c r="H367" s="17" t="n">
        <f aca="false">D367/G367</f>
        <v>0.900479967252493</v>
      </c>
      <c r="I367" s="18" t="n">
        <f aca="false">INDEX('2 Seasonal Index'!$D$3:$D$54,C367)</f>
        <v>0.941059701689701</v>
      </c>
      <c r="J367" s="16" t="n">
        <f aca="false">D367/I367</f>
        <v>8452.17363544348</v>
      </c>
      <c r="O367" s="14" t="n">
        <f aca="false">B367</f>
        <v>1717</v>
      </c>
      <c r="P367" s="16" t="n">
        <f aca="false">E367</f>
        <v>280549</v>
      </c>
      <c r="Q367" s="16" t="n">
        <f aca="false">F367</f>
        <v>212000</v>
      </c>
    </row>
    <row r="368" customFormat="false" ht="15" hidden="false" customHeight="false" outlineLevel="0" collapsed="false">
      <c r="A368" s="12" t="n">
        <v>45296</v>
      </c>
      <c r="B368" s="13" t="n">
        <v>1718</v>
      </c>
      <c r="C368" s="14" t="n">
        <f aca="false">MIN(52,INT((A368-DATE(YEAR(A368),1,1))/7)+1)</f>
        <v>1</v>
      </c>
      <c r="D368" s="15" t="n">
        <v>8325</v>
      </c>
      <c r="E368" s="15" t="n">
        <v>280549</v>
      </c>
      <c r="F368" s="15" t="n">
        <v>200000</v>
      </c>
      <c r="G368" s="16" t="n">
        <f aca="false">$M$3+$M$4*B368</f>
        <v>8831.89445510446</v>
      </c>
      <c r="H368" s="17" t="n">
        <f aca="false">D368/G368</f>
        <v>0.94260637310815</v>
      </c>
      <c r="I368" s="18" t="n">
        <f aca="false">INDEX('2 Seasonal Index'!$D$3:$D$54,C368)</f>
        <v>0.914658189121246</v>
      </c>
      <c r="J368" s="16" t="n">
        <f aca="false">D368/I368</f>
        <v>9101.7607440854</v>
      </c>
      <c r="O368" s="14" t="n">
        <f aca="false">B368</f>
        <v>1718</v>
      </c>
      <c r="P368" s="16" t="n">
        <f aca="false">E368</f>
        <v>280549</v>
      </c>
      <c r="Q368" s="16" t="n">
        <f aca="false">F368</f>
        <v>200000</v>
      </c>
    </row>
    <row r="369" customFormat="false" ht="15" hidden="false" customHeight="false" outlineLevel="0" collapsed="false">
      <c r="A369" s="12" t="n">
        <v>45303</v>
      </c>
      <c r="B369" s="13" t="n">
        <v>1719</v>
      </c>
      <c r="C369" s="14" t="n">
        <f aca="false">MIN(52,INT((A369-DATE(YEAR(A369),1,1))/7)+1)</f>
        <v>2</v>
      </c>
      <c r="D369" s="15" t="n">
        <v>8269</v>
      </c>
      <c r="E369" s="15" t="n">
        <v>280549</v>
      </c>
      <c r="F369" s="15" t="n">
        <v>201000</v>
      </c>
      <c r="G369" s="16" t="n">
        <f aca="false">$M$3+$M$4*B369</f>
        <v>8830.72178016615</v>
      </c>
      <c r="H369" s="17" t="n">
        <f aca="false">D369/G369</f>
        <v>0.936390048950724</v>
      </c>
      <c r="I369" s="18" t="n">
        <f aca="false">INDEX('2 Seasonal Index'!$D$3:$D$54,C369)</f>
        <v>0.921123720796805</v>
      </c>
      <c r="J369" s="16" t="n">
        <f aca="false">D369/I369</f>
        <v>8977.07855449322</v>
      </c>
      <c r="O369" s="14" t="n">
        <f aca="false">B369</f>
        <v>1719</v>
      </c>
      <c r="P369" s="16" t="n">
        <f aca="false">E369</f>
        <v>280549</v>
      </c>
      <c r="Q369" s="16" t="n">
        <f aca="false">F369</f>
        <v>201000</v>
      </c>
    </row>
    <row r="370" customFormat="false" ht="15" hidden="false" customHeight="false" outlineLevel="0" collapsed="false">
      <c r="A370" s="12" t="n">
        <v>45310</v>
      </c>
      <c r="B370" s="13" t="n">
        <v>1720</v>
      </c>
      <c r="C370" s="14" t="n">
        <f aca="false">MIN(52,INT((A370-DATE(YEAR(A370),1,1))/7)+1)</f>
        <v>3</v>
      </c>
      <c r="D370" s="15" t="n">
        <v>7880</v>
      </c>
      <c r="E370" s="15" t="n">
        <v>260292</v>
      </c>
      <c r="F370" s="15" t="n">
        <v>195000</v>
      </c>
      <c r="G370" s="16" t="n">
        <f aca="false">$M$3+$M$4*B370</f>
        <v>8829.54910522783</v>
      </c>
      <c r="H370" s="17" t="n">
        <f aca="false">D370/G370</f>
        <v>0.892457803460698</v>
      </c>
      <c r="I370" s="18" t="n">
        <f aca="false">INDEX('2 Seasonal Index'!$D$3:$D$54,C370)</f>
        <v>0.932475709892495</v>
      </c>
      <c r="J370" s="16" t="n">
        <f aca="false">D370/I370</f>
        <v>8450.62226973021</v>
      </c>
      <c r="O370" s="14" t="n">
        <f aca="false">B370</f>
        <v>1720</v>
      </c>
      <c r="P370" s="16" t="n">
        <f aca="false">E370</f>
        <v>260292</v>
      </c>
      <c r="Q370" s="16" t="n">
        <f aca="false">F370</f>
        <v>195000</v>
      </c>
    </row>
    <row r="371" customFormat="false" ht="15" hidden="false" customHeight="false" outlineLevel="0" collapsed="false">
      <c r="A371" s="12" t="n">
        <v>45317</v>
      </c>
      <c r="B371" s="13" t="n">
        <v>1721</v>
      </c>
      <c r="C371" s="14" t="n">
        <f aca="false">MIN(52,INT((A371-DATE(YEAR(A371),1,1))/7)+1)</f>
        <v>4</v>
      </c>
      <c r="D371" s="15" t="n">
        <v>8144</v>
      </c>
      <c r="E371" s="15" t="n">
        <v>260292</v>
      </c>
      <c r="F371" s="15" t="n">
        <v>224000</v>
      </c>
      <c r="G371" s="16" t="n">
        <f aca="false">$M$3+$M$4*B371</f>
        <v>8828.37643028951</v>
      </c>
      <c r="H371" s="17" t="n">
        <f aca="false">D371/G371</f>
        <v>0.922479921909371</v>
      </c>
      <c r="I371" s="18" t="n">
        <f aca="false">INDEX('2 Seasonal Index'!$D$3:$D$54,C371)</f>
        <v>0.95567024426302</v>
      </c>
      <c r="J371" s="16" t="n">
        <f aca="false">D371/I371</f>
        <v>8521.76788896507</v>
      </c>
      <c r="O371" s="14" t="n">
        <f aca="false">B371</f>
        <v>1721</v>
      </c>
      <c r="P371" s="16" t="n">
        <f aca="false">E371</f>
        <v>260292</v>
      </c>
      <c r="Q371" s="16" t="n">
        <f aca="false">F371</f>
        <v>224000</v>
      </c>
    </row>
    <row r="372" customFormat="false" ht="15" hidden="false" customHeight="false" outlineLevel="0" collapsed="false">
      <c r="A372" s="12" t="n">
        <v>45324</v>
      </c>
      <c r="B372" s="13" t="n">
        <v>1722</v>
      </c>
      <c r="C372" s="14" t="n">
        <f aca="false">MIN(52,INT((A372-DATE(YEAR(A372),1,1))/7)+1)</f>
        <v>5</v>
      </c>
      <c r="D372" s="15" t="n">
        <v>8807</v>
      </c>
      <c r="E372" s="15" t="n">
        <v>260292</v>
      </c>
      <c r="F372" s="15" t="n">
        <v>226000</v>
      </c>
      <c r="G372" s="16" t="n">
        <f aca="false">$M$3+$M$4*B372</f>
        <v>8827.20375535119</v>
      </c>
      <c r="H372" s="17" t="n">
        <f aca="false">D372/G372</f>
        <v>0.997711194177552</v>
      </c>
      <c r="I372" s="18" t="n">
        <f aca="false">INDEX('2 Seasonal Index'!$D$3:$D$54,C372)</f>
        <v>0.963785211095498</v>
      </c>
      <c r="J372" s="16" t="n">
        <f aca="false">D372/I372</f>
        <v>9137.92813856255</v>
      </c>
      <c r="O372" s="14" t="n">
        <f aca="false">B372</f>
        <v>1722</v>
      </c>
      <c r="P372" s="16" t="n">
        <f aca="false">E372</f>
        <v>260292</v>
      </c>
      <c r="Q372" s="16" t="n">
        <f aca="false">F372</f>
        <v>226000</v>
      </c>
    </row>
    <row r="373" customFormat="false" ht="15" hidden="false" customHeight="false" outlineLevel="0" collapsed="false">
      <c r="A373" s="12" t="n">
        <v>45331</v>
      </c>
      <c r="B373" s="13" t="n">
        <v>1723</v>
      </c>
      <c r="C373" s="14" t="n">
        <f aca="false">MIN(52,INT((A373-DATE(YEAR(A373),1,1))/7)+1)</f>
        <v>6</v>
      </c>
      <c r="D373" s="15" t="n">
        <v>8168</v>
      </c>
      <c r="E373" s="15" t="n">
        <v>260292</v>
      </c>
      <c r="F373" s="15" t="n">
        <v>213000</v>
      </c>
      <c r="G373" s="16" t="n">
        <f aca="false">$M$3+$M$4*B373</f>
        <v>8826.03108041287</v>
      </c>
      <c r="H373" s="17" t="n">
        <f aca="false">D373/G373</f>
        <v>0.92544428243934</v>
      </c>
      <c r="I373" s="18" t="n">
        <f aca="false">INDEX('2 Seasonal Index'!$D$3:$D$54,C373)</f>
        <v>0.93990301851115</v>
      </c>
      <c r="J373" s="16" t="n">
        <f aca="false">D373/I373</f>
        <v>8690.25829168896</v>
      </c>
      <c r="O373" s="14" t="n">
        <f aca="false">B373</f>
        <v>1723</v>
      </c>
      <c r="P373" s="16" t="n">
        <f aca="false">E373</f>
        <v>260292</v>
      </c>
      <c r="Q373" s="16" t="n">
        <f aca="false">F373</f>
        <v>213000</v>
      </c>
    </row>
    <row r="374" customFormat="false" ht="15" hidden="false" customHeight="false" outlineLevel="0" collapsed="false">
      <c r="A374" s="12" t="n">
        <v>45338</v>
      </c>
      <c r="B374" s="13" t="n">
        <v>1724</v>
      </c>
      <c r="C374" s="14" t="n">
        <f aca="false">MIN(52,INT((A374-DATE(YEAR(A374),1,1))/7)+1)</f>
        <v>7</v>
      </c>
      <c r="D374" s="15" t="n">
        <v>8200</v>
      </c>
      <c r="E374" s="15" t="n">
        <v>258680</v>
      </c>
      <c r="F374" s="15" t="n">
        <v>213000</v>
      </c>
      <c r="G374" s="16" t="n">
        <f aca="false">$M$3+$M$4*B374</f>
        <v>8824.85840547455</v>
      </c>
      <c r="H374" s="17" t="n">
        <f aca="false">D374/G374</f>
        <v>0.929193378889013</v>
      </c>
      <c r="I374" s="18" t="n">
        <f aca="false">INDEX('2 Seasonal Index'!$D$3:$D$54,C374)</f>
        <v>0.963162093989007</v>
      </c>
      <c r="J374" s="16" t="n">
        <f aca="false">D374/I374</f>
        <v>8513.62408381241</v>
      </c>
      <c r="O374" s="14" t="n">
        <f aca="false">B374</f>
        <v>1724</v>
      </c>
      <c r="P374" s="16" t="n">
        <f aca="false">E374</f>
        <v>258680</v>
      </c>
      <c r="Q374" s="16" t="n">
        <f aca="false">F374</f>
        <v>213000</v>
      </c>
    </row>
    <row r="375" customFormat="false" ht="15" hidden="false" customHeight="false" outlineLevel="0" collapsed="false">
      <c r="A375" s="12" t="n">
        <v>45345</v>
      </c>
      <c r="B375" s="13" t="n">
        <v>1725</v>
      </c>
      <c r="C375" s="14" t="n">
        <f aca="false">MIN(52,INT((A375-DATE(YEAR(A375),1,1))/7)+1)</f>
        <v>8</v>
      </c>
      <c r="D375" s="15" t="n">
        <v>8467</v>
      </c>
      <c r="E375" s="15" t="n">
        <v>258680</v>
      </c>
      <c r="F375" s="15" t="n">
        <v>202000</v>
      </c>
      <c r="G375" s="16" t="n">
        <f aca="false">$M$3+$M$4*B375</f>
        <v>8823.68573053623</v>
      </c>
      <c r="H375" s="17" t="n">
        <f aca="false">D375/G375</f>
        <v>0.959576333356724</v>
      </c>
      <c r="I375" s="18" t="n">
        <f aca="false">INDEX('2 Seasonal Index'!$D$3:$D$54,C375)</f>
        <v>0.978387056473038</v>
      </c>
      <c r="J375" s="16" t="n">
        <f aca="false">D375/I375</f>
        <v>8654.0392618464</v>
      </c>
      <c r="O375" s="14" t="n">
        <f aca="false">B375</f>
        <v>1725</v>
      </c>
      <c r="P375" s="16" t="n">
        <f aca="false">E375</f>
        <v>258680</v>
      </c>
      <c r="Q375" s="16" t="n">
        <f aca="false">F375</f>
        <v>202000</v>
      </c>
    </row>
    <row r="376" customFormat="false" ht="15" hidden="false" customHeight="false" outlineLevel="0" collapsed="false">
      <c r="A376" s="12" t="n">
        <v>45352</v>
      </c>
      <c r="B376" s="13" t="n">
        <v>1726</v>
      </c>
      <c r="C376" s="14" t="n">
        <f aca="false">MIN(52,INT((A376-DATE(YEAR(A376),1,1))/7)+1)</f>
        <v>9</v>
      </c>
      <c r="D376" s="15" t="n">
        <v>9013</v>
      </c>
      <c r="E376" s="15" t="n">
        <v>258680</v>
      </c>
      <c r="F376" s="15" t="n">
        <v>212000</v>
      </c>
      <c r="G376" s="16" t="n">
        <f aca="false">$M$3+$M$4*B376</f>
        <v>8822.51305559791</v>
      </c>
      <c r="H376" s="17" t="n">
        <f aca="false">D376/G376</f>
        <v>1.02159100736963</v>
      </c>
      <c r="I376" s="18" t="n">
        <f aca="false">INDEX('2 Seasonal Index'!$D$3:$D$54,C376)</f>
        <v>0.986293676275175</v>
      </c>
      <c r="J376" s="16" t="n">
        <f aca="false">D376/I376</f>
        <v>9138.25183797019</v>
      </c>
      <c r="O376" s="14" t="n">
        <f aca="false">B376</f>
        <v>1726</v>
      </c>
      <c r="P376" s="16" t="n">
        <f aca="false">E376</f>
        <v>258680</v>
      </c>
      <c r="Q376" s="16" t="n">
        <f aca="false">F376</f>
        <v>212000</v>
      </c>
    </row>
    <row r="377" customFormat="false" ht="15" hidden="false" customHeight="false" outlineLevel="0" collapsed="false">
      <c r="A377" s="12" t="n">
        <v>45359</v>
      </c>
      <c r="B377" s="13" t="n">
        <v>1727</v>
      </c>
      <c r="C377" s="14" t="n">
        <f aca="false">MIN(52,INT((A377-DATE(YEAR(A377),1,1))/7)+1)</f>
        <v>10</v>
      </c>
      <c r="D377" s="15" t="n">
        <v>9044</v>
      </c>
      <c r="E377" s="15" t="n">
        <v>258680</v>
      </c>
      <c r="F377" s="15" t="n">
        <v>213000</v>
      </c>
      <c r="G377" s="16" t="n">
        <f aca="false">$M$3+$M$4*B377</f>
        <v>8821.34038065959</v>
      </c>
      <c r="H377" s="17" t="n">
        <f aca="false">D377/G377</f>
        <v>1.0252410189078</v>
      </c>
      <c r="I377" s="18" t="n">
        <f aca="false">INDEX('2 Seasonal Index'!$D$3:$D$54,C377)</f>
        <v>0.995274907218877</v>
      </c>
      <c r="J377" s="16" t="n">
        <f aca="false">D377/I377</f>
        <v>9086.93661861916</v>
      </c>
      <c r="O377" s="14" t="n">
        <f aca="false">B377</f>
        <v>1727</v>
      </c>
      <c r="P377" s="16" t="n">
        <f aca="false">E377</f>
        <v>258680</v>
      </c>
      <c r="Q377" s="16" t="n">
        <f aca="false">F377</f>
        <v>213000</v>
      </c>
    </row>
    <row r="378" customFormat="false" ht="15" hidden="false" customHeight="false" outlineLevel="0" collapsed="false">
      <c r="A378" s="12" t="n">
        <v>45366</v>
      </c>
      <c r="B378" s="13" t="n">
        <v>1728</v>
      </c>
      <c r="C378" s="14" t="n">
        <f aca="false">MIN(52,INT((A378-DATE(YEAR(A378),1,1))/7)+1)</f>
        <v>11</v>
      </c>
      <c r="D378" s="15" t="n">
        <v>8809</v>
      </c>
      <c r="E378" s="15" t="n">
        <v>258680</v>
      </c>
      <c r="F378" s="15" t="n">
        <v>213000</v>
      </c>
      <c r="G378" s="16" t="n">
        <f aca="false">$M$3+$M$4*B378</f>
        <v>8820.16770572128</v>
      </c>
      <c r="H378" s="17" t="n">
        <f aca="false">D378/G378</f>
        <v>0.998733844288014</v>
      </c>
      <c r="I378" s="18" t="n">
        <f aca="false">INDEX('2 Seasonal Index'!$D$3:$D$54,C378)</f>
        <v>1.00212775296089</v>
      </c>
      <c r="J378" s="16" t="n">
        <f aca="false">D378/I378</f>
        <v>8790.29642076358</v>
      </c>
      <c r="O378" s="14" t="n">
        <f aca="false">B378</f>
        <v>1728</v>
      </c>
      <c r="P378" s="16" t="n">
        <f aca="false">E378</f>
        <v>258680</v>
      </c>
      <c r="Q378" s="16" t="n">
        <f aca="false">F378</f>
        <v>213000</v>
      </c>
    </row>
    <row r="379" customFormat="false" ht="15" hidden="false" customHeight="false" outlineLevel="0" collapsed="false">
      <c r="A379" s="12" t="n">
        <v>45373</v>
      </c>
      <c r="B379" s="13" t="n">
        <v>1729</v>
      </c>
      <c r="C379" s="14" t="n">
        <f aca="false">MIN(52,INT((A379-DATE(YEAR(A379),1,1))/7)+1)</f>
        <v>12</v>
      </c>
      <c r="D379" s="15" t="n">
        <v>8715</v>
      </c>
      <c r="E379" s="15" t="n">
        <v>247678</v>
      </c>
      <c r="F379" s="15" t="n">
        <v>213000</v>
      </c>
      <c r="G379" s="16" t="n">
        <f aca="false">$M$3+$M$4*B379</f>
        <v>8818.99503078296</v>
      </c>
      <c r="H379" s="17" t="n">
        <f aca="false">D379/G379</f>
        <v>0.988207836559613</v>
      </c>
      <c r="I379" s="18" t="n">
        <f aca="false">INDEX('2 Seasonal Index'!$D$3:$D$54,C379)</f>
        <v>0.99255102448152</v>
      </c>
      <c r="J379" s="16" t="n">
        <f aca="false">D379/I379</f>
        <v>8780.4050220516</v>
      </c>
      <c r="O379" s="14" t="n">
        <f aca="false">B379</f>
        <v>1729</v>
      </c>
      <c r="P379" s="16" t="n">
        <f aca="false">E379</f>
        <v>247678</v>
      </c>
      <c r="Q379" s="16" t="n">
        <f aca="false">F379</f>
        <v>213000</v>
      </c>
    </row>
    <row r="380" customFormat="false" ht="15" hidden="false" customHeight="false" outlineLevel="0" collapsed="false">
      <c r="A380" s="12" t="n">
        <v>45380</v>
      </c>
      <c r="B380" s="13" t="n">
        <v>1730</v>
      </c>
      <c r="C380" s="14" t="n">
        <f aca="false">MIN(52,INT((A380-DATE(YEAR(A380),1,1))/7)+1)</f>
        <v>13</v>
      </c>
      <c r="D380" s="15" t="n">
        <v>9236</v>
      </c>
      <c r="E380" s="15" t="n">
        <v>247678</v>
      </c>
      <c r="F380" s="15" t="n">
        <v>214000</v>
      </c>
      <c r="G380" s="16" t="n">
        <f aca="false">$M$3+$M$4*B380</f>
        <v>8817.82235584464</v>
      </c>
      <c r="H380" s="17" t="n">
        <f aca="false">D380/G380</f>
        <v>1.04742414025592</v>
      </c>
      <c r="I380" s="18" t="n">
        <f aca="false">INDEX('2 Seasonal Index'!$D$3:$D$54,C380)</f>
        <v>1.00671990755393</v>
      </c>
      <c r="J380" s="16" t="n">
        <f aca="false">D380/I380</f>
        <v>9174.34922136492</v>
      </c>
      <c r="O380" s="14" t="n">
        <f aca="false">B380</f>
        <v>1730</v>
      </c>
      <c r="P380" s="16" t="n">
        <f aca="false">E380</f>
        <v>247678</v>
      </c>
      <c r="Q380" s="16" t="n">
        <f aca="false">F380</f>
        <v>214000</v>
      </c>
    </row>
    <row r="381" customFormat="false" ht="15" hidden="false" customHeight="false" outlineLevel="0" collapsed="false">
      <c r="A381" s="12" t="n">
        <v>45387</v>
      </c>
      <c r="B381" s="13" t="n">
        <v>1731</v>
      </c>
      <c r="C381" s="14" t="n">
        <f aca="false">MIN(52,INT((A381-DATE(YEAR(A381),1,1))/7)+1)</f>
        <v>14</v>
      </c>
      <c r="D381" s="15" t="n">
        <v>8612</v>
      </c>
      <c r="E381" s="15" t="n">
        <v>247678</v>
      </c>
      <c r="F381" s="15" t="n">
        <v>223000</v>
      </c>
      <c r="G381" s="16" t="n">
        <f aca="false">$M$3+$M$4*B381</f>
        <v>8816.64968090632</v>
      </c>
      <c r="H381" s="17" t="n">
        <f aca="false">D381/G381</f>
        <v>0.976788271246672</v>
      </c>
      <c r="I381" s="18" t="n">
        <f aca="false">INDEX('2 Seasonal Index'!$D$3:$D$54,C381)</f>
        <v>0.994713065050192</v>
      </c>
      <c r="J381" s="16" t="n">
        <f aca="false">D381/I381</f>
        <v>8657.77308310055</v>
      </c>
      <c r="O381" s="14" t="n">
        <f aca="false">B381</f>
        <v>1731</v>
      </c>
      <c r="P381" s="16" t="n">
        <f aca="false">E381</f>
        <v>247678</v>
      </c>
      <c r="Q381" s="16" t="n">
        <f aca="false">F381</f>
        <v>223000</v>
      </c>
    </row>
    <row r="382" customFormat="false" ht="15" hidden="false" customHeight="false" outlineLevel="0" collapsed="false">
      <c r="A382" s="12" t="n">
        <v>45394</v>
      </c>
      <c r="B382" s="13" t="n">
        <v>1732</v>
      </c>
      <c r="C382" s="14" t="n">
        <f aca="false">MIN(52,INT((A382-DATE(YEAR(A382),1,1))/7)+1)</f>
        <v>15</v>
      </c>
      <c r="D382" s="15" t="n">
        <v>8662</v>
      </c>
      <c r="E382" s="15" t="n">
        <v>247678</v>
      </c>
      <c r="F382" s="15" t="n">
        <v>213000</v>
      </c>
      <c r="G382" s="16" t="n">
        <f aca="false">$M$3+$M$4*B382</f>
        <v>8815.477005968</v>
      </c>
      <c r="H382" s="17" t="n">
        <f aca="false">D382/G382</f>
        <v>0.982590050899787</v>
      </c>
      <c r="I382" s="18" t="n">
        <f aca="false">INDEX('2 Seasonal Index'!$D$3:$D$54,C382)</f>
        <v>1.00303091571571</v>
      </c>
      <c r="J382" s="16" t="n">
        <f aca="false">D382/I382</f>
        <v>8635.8255406507</v>
      </c>
      <c r="O382" s="14" t="n">
        <f aca="false">B382</f>
        <v>1732</v>
      </c>
      <c r="P382" s="16" t="n">
        <f aca="false">E382</f>
        <v>247678</v>
      </c>
      <c r="Q382" s="16" t="n">
        <f aca="false">F382</f>
        <v>213000</v>
      </c>
    </row>
    <row r="383" customFormat="false" ht="15" hidden="false" customHeight="false" outlineLevel="0" collapsed="false">
      <c r="A383" s="12" t="n">
        <v>45401</v>
      </c>
      <c r="B383" s="13" t="n">
        <v>1733</v>
      </c>
      <c r="C383" s="14" t="n">
        <f aca="false">MIN(52,INT((A383-DATE(YEAR(A383),1,1))/7)+1)</f>
        <v>16</v>
      </c>
      <c r="D383" s="15" t="n">
        <v>8423</v>
      </c>
      <c r="E383" s="15" t="n">
        <v>242287</v>
      </c>
      <c r="F383" s="15" t="n">
        <v>212000</v>
      </c>
      <c r="G383" s="16" t="n">
        <f aca="false">$M$3+$M$4*B383</f>
        <v>8814.30433102968</v>
      </c>
      <c r="H383" s="17" t="n">
        <f aca="false">D383/G383</f>
        <v>0.9556057612338</v>
      </c>
      <c r="I383" s="18" t="n">
        <f aca="false">INDEX('2 Seasonal Index'!$D$3:$D$54,C383)</f>
        <v>1.00209740802543</v>
      </c>
      <c r="J383" s="16" t="n">
        <f aca="false">D383/I383</f>
        <v>8405.37050843892</v>
      </c>
      <c r="O383" s="14" t="n">
        <f aca="false">B383</f>
        <v>1733</v>
      </c>
      <c r="P383" s="16" t="n">
        <f aca="false">E383</f>
        <v>242287</v>
      </c>
      <c r="Q383" s="16" t="n">
        <f aca="false">F383</f>
        <v>212000</v>
      </c>
    </row>
    <row r="384" customFormat="false" ht="15" hidden="false" customHeight="false" outlineLevel="0" collapsed="false">
      <c r="A384" s="12" t="n">
        <v>45408</v>
      </c>
      <c r="B384" s="13" t="n">
        <v>1734</v>
      </c>
      <c r="C384" s="14" t="n">
        <f aca="false">MIN(52,INT((A384-DATE(YEAR(A384),1,1))/7)+1)</f>
        <v>17</v>
      </c>
      <c r="D384" s="15" t="n">
        <v>8618</v>
      </c>
      <c r="E384" s="15" t="n">
        <v>242287</v>
      </c>
      <c r="F384" s="15" t="n">
        <v>209000</v>
      </c>
      <c r="G384" s="16" t="n">
        <f aca="false">$M$3+$M$4*B384</f>
        <v>8813.13165609136</v>
      </c>
      <c r="H384" s="17" t="n">
        <f aca="false">D384/G384</f>
        <v>0.977858987734911</v>
      </c>
      <c r="I384" s="18" t="n">
        <f aca="false">INDEX('2 Seasonal Index'!$D$3:$D$54,C384)</f>
        <v>0.985720009085136</v>
      </c>
      <c r="J384" s="16" t="n">
        <f aca="false">D384/I384</f>
        <v>8742.84778696794</v>
      </c>
      <c r="O384" s="14" t="n">
        <f aca="false">B384</f>
        <v>1734</v>
      </c>
      <c r="P384" s="16" t="n">
        <f aca="false">E384</f>
        <v>242287</v>
      </c>
      <c r="Q384" s="16" t="n">
        <f aca="false">F384</f>
        <v>209000</v>
      </c>
    </row>
    <row r="385" customFormat="false" ht="15" hidden="false" customHeight="false" outlineLevel="0" collapsed="false">
      <c r="A385" s="12" t="n">
        <v>45415</v>
      </c>
      <c r="B385" s="13" t="n">
        <v>1735</v>
      </c>
      <c r="C385" s="14" t="n">
        <f aca="false">MIN(52,INT((A385-DATE(YEAR(A385),1,1))/7)+1)</f>
        <v>18</v>
      </c>
      <c r="D385" s="15" t="n">
        <v>8797</v>
      </c>
      <c r="E385" s="15" t="n">
        <v>242287</v>
      </c>
      <c r="F385" s="15" t="n">
        <v>207000</v>
      </c>
      <c r="G385" s="16" t="n">
        <f aca="false">$M$3+$M$4*B385</f>
        <v>8811.95898115304</v>
      </c>
      <c r="H385" s="17" t="n">
        <f aca="false">D385/G385</f>
        <v>0.998302422743338</v>
      </c>
      <c r="I385" s="18" t="n">
        <f aca="false">INDEX('2 Seasonal Index'!$D$3:$D$54,C385)</f>
        <v>1.01814015000929</v>
      </c>
      <c r="J385" s="16" t="n">
        <f aca="false">D385/I385</f>
        <v>8640.26430930918</v>
      </c>
      <c r="O385" s="14" t="n">
        <f aca="false">B385</f>
        <v>1735</v>
      </c>
      <c r="P385" s="16" t="n">
        <f aca="false">E385</f>
        <v>242287</v>
      </c>
      <c r="Q385" s="16" t="n">
        <f aca="false">F385</f>
        <v>207000</v>
      </c>
    </row>
    <row r="386" customFormat="false" ht="15" hidden="false" customHeight="false" outlineLevel="0" collapsed="false">
      <c r="A386" s="12" t="n">
        <v>45422</v>
      </c>
      <c r="B386" s="13" t="n">
        <v>1736</v>
      </c>
      <c r="C386" s="14" t="n">
        <f aca="false">MIN(52,INT((A386-DATE(YEAR(A386),1,1))/7)+1)</f>
        <v>19</v>
      </c>
      <c r="D386" s="15" t="n">
        <v>8875</v>
      </c>
      <c r="E386" s="15" t="n">
        <v>242287</v>
      </c>
      <c r="F386" s="15" t="n">
        <v>230000</v>
      </c>
      <c r="G386" s="16" t="n">
        <f aca="false">$M$3+$M$4*B386</f>
        <v>8810.78630621472</v>
      </c>
      <c r="H386" s="17" t="n">
        <f aca="false">D386/G386</f>
        <v>1.00728807753968</v>
      </c>
      <c r="I386" s="18" t="n">
        <f aca="false">INDEX('2 Seasonal Index'!$D$3:$D$54,C386)</f>
        <v>1.01337123918897</v>
      </c>
      <c r="J386" s="16" t="n">
        <f aca="false">D386/I386</f>
        <v>8757.89607676546</v>
      </c>
      <c r="O386" s="14" t="n">
        <f aca="false">B386</f>
        <v>1736</v>
      </c>
      <c r="P386" s="16" t="n">
        <f aca="false">E386</f>
        <v>242287</v>
      </c>
      <c r="Q386" s="16" t="n">
        <f aca="false">F386</f>
        <v>230000</v>
      </c>
    </row>
    <row r="387" customFormat="false" ht="15" hidden="false" customHeight="false" outlineLevel="0" collapsed="false">
      <c r="A387" s="12" t="n">
        <v>45429</v>
      </c>
      <c r="B387" s="13" t="n">
        <v>1737</v>
      </c>
      <c r="C387" s="14" t="n">
        <f aca="false">MIN(52,INT((A387-DATE(YEAR(A387),1,1))/7)+1)</f>
        <v>20</v>
      </c>
      <c r="D387" s="15" t="n">
        <v>9315</v>
      </c>
      <c r="E387" s="15" t="n">
        <v>275803</v>
      </c>
      <c r="F387" s="15" t="n">
        <v>222000</v>
      </c>
      <c r="G387" s="16" t="n">
        <f aca="false">$M$3+$M$4*B387</f>
        <v>8809.6136312764</v>
      </c>
      <c r="H387" s="17" t="n">
        <f aca="false">D387/G387</f>
        <v>1.05736759747662</v>
      </c>
      <c r="I387" s="18" t="n">
        <f aca="false">INDEX('2 Seasonal Index'!$D$3:$D$54,C387)</f>
        <v>1.03551191118317</v>
      </c>
      <c r="J387" s="16" t="n">
        <f aca="false">D387/I387</f>
        <v>8995.55079898285</v>
      </c>
      <c r="O387" s="14" t="n">
        <f aca="false">B387</f>
        <v>1737</v>
      </c>
      <c r="P387" s="16" t="n">
        <f aca="false">E387</f>
        <v>275803</v>
      </c>
      <c r="Q387" s="16" t="n">
        <f aca="false">F387</f>
        <v>222000</v>
      </c>
    </row>
    <row r="388" customFormat="false" ht="15" hidden="false" customHeight="false" outlineLevel="0" collapsed="false">
      <c r="A388" s="12" t="n">
        <v>45436</v>
      </c>
      <c r="B388" s="13" t="n">
        <v>1738</v>
      </c>
      <c r="C388" s="14" t="n">
        <f aca="false">MIN(52,INT((A388-DATE(YEAR(A388),1,1))/7)+1)</f>
        <v>21</v>
      </c>
      <c r="D388" s="15" t="n">
        <v>9148</v>
      </c>
      <c r="E388" s="15" t="n">
        <v>275803</v>
      </c>
      <c r="F388" s="15" t="n">
        <v>216000</v>
      </c>
      <c r="G388" s="16" t="n">
        <f aca="false">$M$3+$M$4*B388</f>
        <v>8808.44095633808</v>
      </c>
      <c r="H388" s="17" t="n">
        <f aca="false">D388/G388</f>
        <v>1.03854927850968</v>
      </c>
      <c r="I388" s="18" t="n">
        <f aca="false">INDEX('2 Seasonal Index'!$D$3:$D$54,C388)</f>
        <v>1.0352245807811</v>
      </c>
      <c r="J388" s="16" t="n">
        <f aca="false">D388/I388</f>
        <v>8836.72989400776</v>
      </c>
      <c r="O388" s="14" t="n">
        <f aca="false">B388</f>
        <v>1738</v>
      </c>
      <c r="P388" s="16" t="n">
        <f aca="false">E388</f>
        <v>275803</v>
      </c>
      <c r="Q388" s="16" t="n">
        <f aca="false">F388</f>
        <v>216000</v>
      </c>
    </row>
    <row r="389" customFormat="false" ht="15" hidden="false" customHeight="false" outlineLevel="0" collapsed="false">
      <c r="A389" s="12" t="n">
        <v>45443</v>
      </c>
      <c r="B389" s="13" t="n">
        <v>1739</v>
      </c>
      <c r="C389" s="14" t="n">
        <f aca="false">MIN(52,INT((A389-DATE(YEAR(A389),1,1))/7)+1)</f>
        <v>22</v>
      </c>
      <c r="D389" s="15" t="n">
        <v>8946</v>
      </c>
      <c r="E389" s="15" t="n">
        <v>275803</v>
      </c>
      <c r="F389" s="15" t="n">
        <v>220000</v>
      </c>
      <c r="G389" s="16" t="n">
        <f aca="false">$M$3+$M$4*B389</f>
        <v>8807.26828139977</v>
      </c>
      <c r="H389" s="17" t="n">
        <f aca="false">D389/G389</f>
        <v>1.01575195783388</v>
      </c>
      <c r="I389" s="18" t="n">
        <f aca="false">INDEX('2 Seasonal Index'!$D$3:$D$54,C389)</f>
        <v>1.01397917017061</v>
      </c>
      <c r="J389" s="16" t="n">
        <f aca="false">D389/I389</f>
        <v>8822.66644441498</v>
      </c>
      <c r="O389" s="14" t="n">
        <f aca="false">B389</f>
        <v>1739</v>
      </c>
      <c r="P389" s="16" t="n">
        <f aca="false">E389</f>
        <v>275803</v>
      </c>
      <c r="Q389" s="16" t="n">
        <f aca="false">F389</f>
        <v>220000</v>
      </c>
    </row>
    <row r="390" customFormat="false" ht="15" hidden="false" customHeight="false" outlineLevel="0" collapsed="false">
      <c r="A390" s="12" t="n">
        <v>45450</v>
      </c>
      <c r="B390" s="13" t="n">
        <v>1740</v>
      </c>
      <c r="C390" s="14" t="n">
        <f aca="false">MIN(52,INT((A390-DATE(YEAR(A390),1,1))/7)+1)</f>
        <v>23</v>
      </c>
      <c r="D390" s="15" t="n">
        <v>9040</v>
      </c>
      <c r="E390" s="15" t="n">
        <v>275803</v>
      </c>
      <c r="F390" s="15" t="n">
        <v>227000</v>
      </c>
      <c r="G390" s="16" t="n">
        <f aca="false">$M$3+$M$4*B390</f>
        <v>8806.09560646145</v>
      </c>
      <c r="H390" s="17" t="n">
        <f aca="false">D390/G390</f>
        <v>1.02656164593159</v>
      </c>
      <c r="I390" s="18" t="n">
        <f aca="false">INDEX('2 Seasonal Index'!$D$3:$D$54,C390)</f>
        <v>1.03755973679196</v>
      </c>
      <c r="J390" s="16" t="n">
        <f aca="false">D390/I390</f>
        <v>8712.75135246754</v>
      </c>
      <c r="O390" s="14" t="n">
        <f aca="false">B390</f>
        <v>1740</v>
      </c>
      <c r="P390" s="16" t="n">
        <f aca="false">E390</f>
        <v>275803</v>
      </c>
      <c r="Q390" s="16" t="n">
        <f aca="false">F390</f>
        <v>227000</v>
      </c>
    </row>
    <row r="391" customFormat="false" ht="15" hidden="false" customHeight="false" outlineLevel="0" collapsed="false">
      <c r="A391" s="12" t="n">
        <v>45457</v>
      </c>
      <c r="B391" s="13" t="n">
        <v>1741</v>
      </c>
      <c r="C391" s="14" t="n">
        <f aca="false">MIN(52,INT((A391-DATE(YEAR(A391),1,1))/7)+1)</f>
        <v>24</v>
      </c>
      <c r="D391" s="15" t="n">
        <v>9386</v>
      </c>
      <c r="E391" s="15" t="n">
        <v>275803</v>
      </c>
      <c r="F391" s="15" t="n">
        <v>240000</v>
      </c>
      <c r="G391" s="16" t="n">
        <f aca="false">$M$3+$M$4*B391</f>
        <v>8804.92293152313</v>
      </c>
      <c r="H391" s="17" t="n">
        <f aca="false">D391/G391</f>
        <v>1.06599456610762</v>
      </c>
      <c r="I391" s="18" t="n">
        <f aca="false">INDEX('2 Seasonal Index'!$D$3:$D$54,C391)</f>
        <v>1.03445132468082</v>
      </c>
      <c r="J391" s="16" t="n">
        <f aca="false">D391/I391</f>
        <v>9073.40903922769</v>
      </c>
      <c r="O391" s="14" t="n">
        <f aca="false">B391</f>
        <v>1741</v>
      </c>
      <c r="P391" s="16" t="n">
        <f aca="false">E391</f>
        <v>275803</v>
      </c>
      <c r="Q391" s="16" t="n">
        <f aca="false">F391</f>
        <v>240000</v>
      </c>
    </row>
    <row r="392" customFormat="false" ht="15" hidden="false" customHeight="false" outlineLevel="0" collapsed="false">
      <c r="A392" s="12" t="n">
        <v>45464</v>
      </c>
      <c r="B392" s="13" t="n">
        <v>1742</v>
      </c>
      <c r="C392" s="14" t="n">
        <f aca="false">MIN(52,INT((A392-DATE(YEAR(A392),1,1))/7)+1)</f>
        <v>25</v>
      </c>
      <c r="D392" s="15" t="n">
        <v>8969</v>
      </c>
      <c r="E392" s="15" t="n">
        <v>274470</v>
      </c>
      <c r="F392" s="15" t="n">
        <v>236000</v>
      </c>
      <c r="G392" s="16" t="n">
        <f aca="false">$M$3+$M$4*B392</f>
        <v>8803.75025658481</v>
      </c>
      <c r="H392" s="17" t="n">
        <f aca="false">D392/G392</f>
        <v>1.0187703806445</v>
      </c>
      <c r="I392" s="18" t="n">
        <f aca="false">INDEX('2 Seasonal Index'!$D$3:$D$54,C392)</f>
        <v>1.03606069309931</v>
      </c>
      <c r="J392" s="16" t="n">
        <f aca="false">D392/I392</f>
        <v>8656.82875505085</v>
      </c>
      <c r="O392" s="14" t="n">
        <f aca="false">B392</f>
        <v>1742</v>
      </c>
      <c r="P392" s="16" t="n">
        <f aca="false">E392</f>
        <v>274470</v>
      </c>
      <c r="Q392" s="16" t="n">
        <f aca="false">F392</f>
        <v>236000</v>
      </c>
    </row>
    <row r="393" customFormat="false" ht="15" hidden="false" customHeight="false" outlineLevel="0" collapsed="false">
      <c r="A393" s="12" t="n">
        <v>45471</v>
      </c>
      <c r="B393" s="13" t="n">
        <v>1743</v>
      </c>
      <c r="C393" s="14" t="n">
        <f aca="false">MIN(52,INT((A393-DATE(YEAR(A393),1,1))/7)+1)</f>
        <v>26</v>
      </c>
      <c r="D393" s="15" t="n">
        <v>9424</v>
      </c>
      <c r="E393" s="15" t="n">
        <v>274470</v>
      </c>
      <c r="F393" s="15" t="n">
        <v>233000</v>
      </c>
      <c r="G393" s="16" t="n">
        <f aca="false">$M$3+$M$4*B393</f>
        <v>8802.57758164649</v>
      </c>
      <c r="H393" s="17" t="n">
        <f aca="false">D393/G393</f>
        <v>1.07059550598556</v>
      </c>
      <c r="I393" s="18" t="n">
        <f aca="false">INDEX('2 Seasonal Index'!$D$3:$D$54,C393)</f>
        <v>1.05775104170879</v>
      </c>
      <c r="J393" s="16" t="n">
        <f aca="false">D393/I393</f>
        <v>8909.46889050146</v>
      </c>
      <c r="O393" s="14" t="n">
        <f aca="false">B393</f>
        <v>1743</v>
      </c>
      <c r="P393" s="16" t="n">
        <f aca="false">E393</f>
        <v>274470</v>
      </c>
      <c r="Q393" s="16" t="n">
        <f aca="false">F393</f>
        <v>233000</v>
      </c>
    </row>
    <row r="394" customFormat="false" ht="15" hidden="false" customHeight="false" outlineLevel="0" collapsed="false">
      <c r="A394" s="12" t="n">
        <v>45478</v>
      </c>
      <c r="B394" s="13" t="n">
        <v>1744</v>
      </c>
      <c r="C394" s="14" t="n">
        <f aca="false">MIN(52,INT((A394-DATE(YEAR(A394),1,1))/7)+1)</f>
        <v>27</v>
      </c>
      <c r="D394" s="15" t="n">
        <v>9398</v>
      </c>
      <c r="E394" s="15" t="n">
        <v>274470</v>
      </c>
      <c r="F394" s="15" t="n">
        <v>238000</v>
      </c>
      <c r="G394" s="16" t="n">
        <f aca="false">$M$3+$M$4*B394</f>
        <v>8801.40490670817</v>
      </c>
      <c r="H394" s="17" t="n">
        <f aca="false">D394/G394</f>
        <v>1.06778407533974</v>
      </c>
      <c r="I394" s="18" t="n">
        <f aca="false">INDEX('2 Seasonal Index'!$D$3:$D$54,C394)</f>
        <v>1.02126188503389</v>
      </c>
      <c r="J394" s="16" t="n">
        <f aca="false">D394/I394</f>
        <v>9202.34088603842</v>
      </c>
      <c r="O394" s="14" t="n">
        <f aca="false">B394</f>
        <v>1744</v>
      </c>
      <c r="P394" s="16" t="n">
        <f aca="false">E394</f>
        <v>274470</v>
      </c>
      <c r="Q394" s="16" t="n">
        <f aca="false">F394</f>
        <v>238000</v>
      </c>
    </row>
    <row r="395" customFormat="false" ht="15" hidden="false" customHeight="false" outlineLevel="0" collapsed="false">
      <c r="A395" s="12" t="n">
        <v>45485</v>
      </c>
      <c r="B395" s="13" t="n">
        <v>1745</v>
      </c>
      <c r="C395" s="14" t="n">
        <f aca="false">MIN(52,INT((A395-DATE(YEAR(A395),1,1))/7)+1)</f>
        <v>28</v>
      </c>
      <c r="D395" s="15" t="n">
        <v>8783</v>
      </c>
      <c r="E395" s="15" t="n">
        <v>274470</v>
      </c>
      <c r="F395" s="15" t="n">
        <v>223000</v>
      </c>
      <c r="G395" s="16" t="n">
        <f aca="false">$M$3+$M$4*B395</f>
        <v>8800.23223176985</v>
      </c>
      <c r="H395" s="17" t="n">
        <f aca="false">D395/G395</f>
        <v>0.998041843520033</v>
      </c>
      <c r="I395" s="18" t="n">
        <f aca="false">INDEX('2 Seasonal Index'!$D$3:$D$54,C395)</f>
        <v>1.01350902481598</v>
      </c>
      <c r="J395" s="16" t="n">
        <f aca="false">D395/I395</f>
        <v>8665.93171342969</v>
      </c>
      <c r="O395" s="14" t="n">
        <f aca="false">B395</f>
        <v>1745</v>
      </c>
      <c r="P395" s="16" t="n">
        <f aca="false">E395</f>
        <v>274470</v>
      </c>
      <c r="Q395" s="16" t="n">
        <f aca="false">F395</f>
        <v>223000</v>
      </c>
    </row>
    <row r="396" customFormat="false" ht="15" hidden="false" customHeight="false" outlineLevel="0" collapsed="false">
      <c r="A396" s="12" t="n">
        <v>45492</v>
      </c>
      <c r="B396" s="13" t="n">
        <v>1746</v>
      </c>
      <c r="C396" s="14" t="n">
        <f aca="false">MIN(52,INT((A396-DATE(YEAR(A396),1,1))/7)+1)</f>
        <v>29</v>
      </c>
      <c r="D396" s="15" t="n">
        <v>9456</v>
      </c>
      <c r="E396" s="15" t="n">
        <v>293754</v>
      </c>
      <c r="F396" s="15" t="n">
        <v>241000</v>
      </c>
      <c r="G396" s="16" t="n">
        <f aca="false">$M$3+$M$4*B396</f>
        <v>8799.05955683153</v>
      </c>
      <c r="H396" s="17" t="n">
        <f aca="false">D396/G396</f>
        <v>1.07466030192493</v>
      </c>
      <c r="I396" s="18" t="n">
        <f aca="false">INDEX('2 Seasonal Index'!$D$3:$D$54,C396)</f>
        <v>1.05195667886475</v>
      </c>
      <c r="J396" s="16" t="n">
        <f aca="false">D396/I396</f>
        <v>8988.96331948259</v>
      </c>
      <c r="O396" s="14" t="n">
        <f aca="false">B396</f>
        <v>1746</v>
      </c>
      <c r="P396" s="16" t="n">
        <f aca="false">E396</f>
        <v>293754</v>
      </c>
      <c r="Q396" s="16" t="n">
        <f aca="false">F396</f>
        <v>241000</v>
      </c>
    </row>
    <row r="397" customFormat="false" ht="15" hidden="false" customHeight="false" outlineLevel="0" collapsed="false">
      <c r="A397" s="12" t="n">
        <v>45499</v>
      </c>
      <c r="B397" s="13" t="n">
        <v>1747</v>
      </c>
      <c r="C397" s="14" t="n">
        <f aca="false">MIN(52,INT((A397-DATE(YEAR(A397),1,1))/7)+1)</f>
        <v>30</v>
      </c>
      <c r="D397" s="15" t="n">
        <v>9250</v>
      </c>
      <c r="E397" s="15" t="n">
        <v>293754</v>
      </c>
      <c r="F397" s="15" t="n">
        <v>237000</v>
      </c>
      <c r="G397" s="16" t="n">
        <f aca="false">$M$3+$M$4*B397</f>
        <v>8797.88688189321</v>
      </c>
      <c r="H397" s="17" t="n">
        <f aca="false">D397/G397</f>
        <v>1.05138883054262</v>
      </c>
      <c r="I397" s="18" t="n">
        <f aca="false">INDEX('2 Seasonal Index'!$D$3:$D$54,C397)</f>
        <v>1.03171304153628</v>
      </c>
      <c r="J397" s="16" t="n">
        <f aca="false">D397/I397</f>
        <v>8965.67129385728</v>
      </c>
      <c r="O397" s="14" t="n">
        <f aca="false">B397</f>
        <v>1747</v>
      </c>
      <c r="P397" s="16" t="n">
        <f aca="false">E397</f>
        <v>293754</v>
      </c>
      <c r="Q397" s="16" t="n">
        <f aca="false">F397</f>
        <v>237000</v>
      </c>
    </row>
    <row r="398" customFormat="false" ht="15" hidden="false" customHeight="false" outlineLevel="0" collapsed="false">
      <c r="A398" s="12" t="n">
        <v>45506</v>
      </c>
      <c r="B398" s="13" t="n">
        <v>1748</v>
      </c>
      <c r="C398" s="14" t="n">
        <f aca="false">MIN(52,INT((A398-DATE(YEAR(A398),1,1))/7)+1)</f>
        <v>31</v>
      </c>
      <c r="D398" s="15" t="n">
        <v>8967</v>
      </c>
      <c r="E398" s="15" t="n">
        <v>293754</v>
      </c>
      <c r="F398" s="15" t="n">
        <v>248000</v>
      </c>
      <c r="G398" s="16" t="n">
        <f aca="false">$M$3+$M$4*B398</f>
        <v>8796.71420695489</v>
      </c>
      <c r="H398" s="17" t="n">
        <f aca="false">D398/G398</f>
        <v>1.01935788625604</v>
      </c>
      <c r="I398" s="18" t="n">
        <f aca="false">INDEX('2 Seasonal Index'!$D$3:$D$54,C398)</f>
        <v>1.03997322006122</v>
      </c>
      <c r="J398" s="16" t="n">
        <f aca="false">D398/I398</f>
        <v>8622.33740929612</v>
      </c>
      <c r="O398" s="14" t="n">
        <f aca="false">B398</f>
        <v>1748</v>
      </c>
      <c r="P398" s="16" t="n">
        <f aca="false">E398</f>
        <v>293754</v>
      </c>
      <c r="Q398" s="16" t="n">
        <f aca="false">F398</f>
        <v>248000</v>
      </c>
    </row>
    <row r="399" customFormat="false" ht="15" hidden="false" customHeight="false" outlineLevel="0" collapsed="false">
      <c r="A399" s="12" t="n">
        <v>45513</v>
      </c>
      <c r="B399" s="13" t="n">
        <v>1749</v>
      </c>
      <c r="C399" s="14" t="n">
        <f aca="false">MIN(52,INT((A399-DATE(YEAR(A399),1,1))/7)+1)</f>
        <v>32</v>
      </c>
      <c r="D399" s="15" t="n">
        <v>9045</v>
      </c>
      <c r="E399" s="15" t="n">
        <v>293754</v>
      </c>
      <c r="F399" s="15" t="n">
        <v>234000</v>
      </c>
      <c r="G399" s="16" t="n">
        <f aca="false">$M$3+$M$4*B399</f>
        <v>8795.54153201658</v>
      </c>
      <c r="H399" s="17" t="n">
        <f aca="false">D399/G399</f>
        <v>1.02836192258036</v>
      </c>
      <c r="I399" s="18" t="n">
        <f aca="false">INDEX('2 Seasonal Index'!$D$3:$D$54,C399)</f>
        <v>1.04061693174176</v>
      </c>
      <c r="J399" s="16" t="n">
        <f aca="false">D399/I399</f>
        <v>8691.95928309634</v>
      </c>
      <c r="O399" s="14" t="n">
        <f aca="false">B399</f>
        <v>1749</v>
      </c>
      <c r="P399" s="16" t="n">
        <f aca="false">E399</f>
        <v>293754</v>
      </c>
      <c r="Q399" s="16" t="n">
        <f aca="false">F399</f>
        <v>234000</v>
      </c>
    </row>
    <row r="400" customFormat="false" ht="15" hidden="false" customHeight="false" outlineLevel="0" collapsed="false">
      <c r="A400" s="12" t="n">
        <v>45520</v>
      </c>
      <c r="B400" s="13" t="n">
        <v>1750</v>
      </c>
      <c r="C400" s="14" t="n">
        <f aca="false">MIN(52,INT((A400-DATE(YEAR(A400),1,1))/7)+1)</f>
        <v>33</v>
      </c>
      <c r="D400" s="15" t="n">
        <v>9193</v>
      </c>
      <c r="E400" s="15" t="n">
        <v>284250</v>
      </c>
      <c r="F400" s="15" t="n">
        <v>228000</v>
      </c>
      <c r="G400" s="16" t="n">
        <f aca="false">$M$3+$M$4*B400</f>
        <v>8794.36885707826</v>
      </c>
      <c r="H400" s="17" t="n">
        <f aca="false">D400/G400</f>
        <v>1.04532799901847</v>
      </c>
      <c r="I400" s="18" t="n">
        <f aca="false">INDEX('2 Seasonal Index'!$D$3:$D$54,C400)</f>
        <v>1.02747806583438</v>
      </c>
      <c r="J400" s="16" t="n">
        <f aca="false">D400/I400</f>
        <v>8947.14963334491</v>
      </c>
      <c r="O400" s="14" t="n">
        <f aca="false">B400</f>
        <v>1750</v>
      </c>
      <c r="P400" s="16" t="n">
        <f aca="false">E400</f>
        <v>284250</v>
      </c>
      <c r="Q400" s="16" t="n">
        <f aca="false">F400</f>
        <v>228000</v>
      </c>
    </row>
    <row r="401" customFormat="false" ht="15" hidden="false" customHeight="false" outlineLevel="0" collapsed="false">
      <c r="A401" s="12" t="n">
        <v>45527</v>
      </c>
      <c r="B401" s="13" t="n">
        <v>1751</v>
      </c>
      <c r="C401" s="14" t="n">
        <f aca="false">MIN(52,INT((A401-DATE(YEAR(A401),1,1))/7)+1)</f>
        <v>34</v>
      </c>
      <c r="D401" s="15" t="n">
        <v>9307</v>
      </c>
      <c r="E401" s="15" t="n">
        <v>284250</v>
      </c>
      <c r="F401" s="15" t="n">
        <v>232000</v>
      </c>
      <c r="G401" s="16" t="n">
        <f aca="false">$M$3+$M$4*B401</f>
        <v>8793.19618213994</v>
      </c>
      <c r="H401" s="17" t="n">
        <f aca="false">D401/G401</f>
        <v>1.05843197481522</v>
      </c>
      <c r="I401" s="18" t="n">
        <f aca="false">INDEX('2 Seasonal Index'!$D$3:$D$54,C401)</f>
        <v>1.03816398467415</v>
      </c>
      <c r="J401" s="16" t="n">
        <f aca="false">D401/I401</f>
        <v>8964.8650284485</v>
      </c>
      <c r="O401" s="14" t="n">
        <f aca="false">B401</f>
        <v>1751</v>
      </c>
      <c r="P401" s="16" t="n">
        <f aca="false">E401</f>
        <v>284250</v>
      </c>
      <c r="Q401" s="16" t="n">
        <f aca="false">F401</f>
        <v>232000</v>
      </c>
    </row>
    <row r="402" customFormat="false" ht="15" hidden="false" customHeight="false" outlineLevel="0" collapsed="false">
      <c r="A402" s="12" t="n">
        <v>45534</v>
      </c>
      <c r="B402" s="13" t="n">
        <v>1752</v>
      </c>
      <c r="C402" s="14" t="n">
        <f aca="false">MIN(52,INT((A402-DATE(YEAR(A402),1,1))/7)+1)</f>
        <v>35</v>
      </c>
      <c r="D402" s="15" t="n">
        <v>8938</v>
      </c>
      <c r="E402" s="15" t="n">
        <v>284250</v>
      </c>
      <c r="F402" s="15" t="n">
        <v>232000</v>
      </c>
      <c r="G402" s="16" t="n">
        <f aca="false">$M$3+$M$4*B402</f>
        <v>8792.02350720162</v>
      </c>
      <c r="H402" s="17" t="n">
        <f aca="false">D402/G402</f>
        <v>1.01660328736369</v>
      </c>
      <c r="I402" s="18" t="n">
        <f aca="false">INDEX('2 Seasonal Index'!$D$3:$D$54,C402)</f>
        <v>1.02246595866814</v>
      </c>
      <c r="J402" s="16" t="n">
        <f aca="false">D402/I402</f>
        <v>8741.61132136136</v>
      </c>
      <c r="O402" s="14" t="n">
        <f aca="false">B402</f>
        <v>1752</v>
      </c>
      <c r="P402" s="16" t="n">
        <f aca="false">E402</f>
        <v>284250</v>
      </c>
      <c r="Q402" s="16" t="n">
        <f aca="false">F402</f>
        <v>232000</v>
      </c>
    </row>
    <row r="403" customFormat="false" ht="15" hidden="false" customHeight="false" outlineLevel="0" collapsed="false">
      <c r="A403" s="12" t="n">
        <v>45541</v>
      </c>
      <c r="B403" s="13" t="n">
        <v>1753</v>
      </c>
      <c r="C403" s="14" t="n">
        <f aca="false">MIN(52,INT((A403-DATE(YEAR(A403),1,1))/7)+1)</f>
        <v>36</v>
      </c>
      <c r="D403" s="15" t="n">
        <v>8478</v>
      </c>
      <c r="E403" s="15" t="n">
        <v>284250</v>
      </c>
      <c r="F403" s="15" t="n">
        <v>227000</v>
      </c>
      <c r="G403" s="16" t="n">
        <f aca="false">$M$3+$M$4*B403</f>
        <v>8790.8508322633</v>
      </c>
      <c r="H403" s="17" t="n">
        <f aca="false">D403/G403</f>
        <v>0.964411768754498</v>
      </c>
      <c r="I403" s="18" t="n">
        <f aca="false">INDEX('2 Seasonal Index'!$D$3:$D$54,C403)</f>
        <v>1.00361083828068</v>
      </c>
      <c r="J403" s="16" t="n">
        <f aca="false">D403/I403</f>
        <v>8447.49745282145</v>
      </c>
      <c r="O403" s="14" t="n">
        <f aca="false">B403</f>
        <v>1753</v>
      </c>
      <c r="P403" s="16" t="n">
        <f aca="false">E403</f>
        <v>284250</v>
      </c>
      <c r="Q403" s="16" t="n">
        <f aca="false">F403</f>
        <v>227000</v>
      </c>
    </row>
    <row r="404" customFormat="false" ht="15" hidden="false" customHeight="false" outlineLevel="0" collapsed="false">
      <c r="A404" s="12" t="n">
        <v>45548</v>
      </c>
      <c r="B404" s="13" t="n">
        <v>1754</v>
      </c>
      <c r="C404" s="14" t="n">
        <f aca="false">MIN(52,INT((A404-DATE(YEAR(A404),1,1))/7)+1)</f>
        <v>37</v>
      </c>
      <c r="D404" s="15" t="n">
        <v>8776</v>
      </c>
      <c r="E404" s="15" t="n">
        <v>284250</v>
      </c>
      <c r="F404" s="15" t="n">
        <v>227000</v>
      </c>
      <c r="G404" s="16" t="n">
        <f aca="false">$M$3+$M$4*B404</f>
        <v>8789.67815732498</v>
      </c>
      <c r="H404" s="17" t="n">
        <f aca="false">D404/G404</f>
        <v>0.998443838661649</v>
      </c>
      <c r="I404" s="18" t="n">
        <f aca="false">INDEX('2 Seasonal Index'!$D$3:$D$54,C404)</f>
        <v>0.988109440121203</v>
      </c>
      <c r="J404" s="16" t="n">
        <f aca="false">D404/I404</f>
        <v>8881.6072832211</v>
      </c>
      <c r="O404" s="14" t="n">
        <f aca="false">B404</f>
        <v>1754</v>
      </c>
      <c r="P404" s="16" t="n">
        <f aca="false">E404</f>
        <v>284250</v>
      </c>
      <c r="Q404" s="16" t="n">
        <f aca="false">F404</f>
        <v>227000</v>
      </c>
    </row>
    <row r="405" customFormat="false" ht="15" hidden="false" customHeight="false" outlineLevel="0" collapsed="false">
      <c r="A405" s="12" t="n">
        <v>45555</v>
      </c>
      <c r="B405" s="13" t="n">
        <v>1755</v>
      </c>
      <c r="C405" s="14" t="n">
        <f aca="false">MIN(52,INT((A405-DATE(YEAR(A405),1,1))/7)+1)</f>
        <v>38</v>
      </c>
      <c r="D405" s="15" t="n">
        <v>9205</v>
      </c>
      <c r="E405" s="15" t="n">
        <v>292266</v>
      </c>
      <c r="F405" s="15" t="n">
        <v>223000</v>
      </c>
      <c r="G405" s="16" t="n">
        <f aca="false">$M$3+$M$4*B405</f>
        <v>8788.50548238666</v>
      </c>
      <c r="H405" s="17" t="n">
        <f aca="false">D405/G405</f>
        <v>1.04739082412226</v>
      </c>
      <c r="I405" s="18" t="n">
        <f aca="false">INDEX('2 Seasonal Index'!$D$3:$D$54,C405)</f>
        <v>1.00996081852754</v>
      </c>
      <c r="J405" s="16" t="n">
        <f aca="false">D405/I405</f>
        <v>9114.21495877469</v>
      </c>
      <c r="O405" s="14" t="n">
        <f aca="false">B405</f>
        <v>1755</v>
      </c>
      <c r="P405" s="16" t="n">
        <f aca="false">E405</f>
        <v>292266</v>
      </c>
      <c r="Q405" s="16" t="n">
        <f aca="false">F405</f>
        <v>223000</v>
      </c>
    </row>
    <row r="406" customFormat="false" ht="15" hidden="false" customHeight="false" outlineLevel="0" collapsed="false">
      <c r="A406" s="12" t="n">
        <v>45562</v>
      </c>
      <c r="B406" s="13" t="n">
        <v>1756</v>
      </c>
      <c r="C406" s="14" t="n">
        <f aca="false">MIN(52,INT((A406-DATE(YEAR(A406),1,1))/7)+1)</f>
        <v>39</v>
      </c>
      <c r="D406" s="15" t="n">
        <v>8521</v>
      </c>
      <c r="E406" s="15" t="n">
        <v>292266</v>
      </c>
      <c r="F406" s="15" t="n">
        <v>221000</v>
      </c>
      <c r="G406" s="16" t="n">
        <f aca="false">$M$3+$M$4*B406</f>
        <v>8787.33280744834</v>
      </c>
      <c r="H406" s="17" t="n">
        <f aca="false">D406/G406</f>
        <v>0.969691280245743</v>
      </c>
      <c r="I406" s="18" t="n">
        <f aca="false">INDEX('2 Seasonal Index'!$D$3:$D$54,C406)</f>
        <v>0.982712197281613</v>
      </c>
      <c r="J406" s="16" t="n">
        <f aca="false">D406/I406</f>
        <v>8670.90082281554</v>
      </c>
      <c r="O406" s="14" t="n">
        <f aca="false">B406</f>
        <v>1756</v>
      </c>
      <c r="P406" s="16" t="n">
        <f aca="false">E406</f>
        <v>292266</v>
      </c>
      <c r="Q406" s="16" t="n">
        <f aca="false">F406</f>
        <v>221000</v>
      </c>
    </row>
    <row r="407" customFormat="false" ht="15" hidden="false" customHeight="false" outlineLevel="0" collapsed="false">
      <c r="A407" s="12" t="n">
        <v>45569</v>
      </c>
      <c r="B407" s="13" t="n">
        <v>1757</v>
      </c>
      <c r="C407" s="14" t="n">
        <f aca="false">MIN(52,INT((A407-DATE(YEAR(A407),1,1))/7)+1)</f>
        <v>40</v>
      </c>
      <c r="D407" s="15" t="n">
        <v>9654</v>
      </c>
      <c r="E407" s="15" t="n">
        <v>292266</v>
      </c>
      <c r="F407" s="15" t="n">
        <v>227000</v>
      </c>
      <c r="G407" s="16" t="n">
        <f aca="false">$M$3+$M$4*B407</f>
        <v>8786.16013251002</v>
      </c>
      <c r="H407" s="17" t="n">
        <f aca="false">D407/G407</f>
        <v>1.09877350906443</v>
      </c>
      <c r="I407" s="18" t="n">
        <f aca="false">INDEX('2 Seasonal Index'!$D$3:$D$54,C407)</f>
        <v>1.0036663428041</v>
      </c>
      <c r="J407" s="16" t="n">
        <f aca="false">D407/I407</f>
        <v>9618.7344222664</v>
      </c>
      <c r="O407" s="14" t="n">
        <f aca="false">B407</f>
        <v>1757</v>
      </c>
      <c r="P407" s="16" t="n">
        <f aca="false">E407</f>
        <v>292266</v>
      </c>
      <c r="Q407" s="16" t="n">
        <f aca="false">F407</f>
        <v>227000</v>
      </c>
    </row>
    <row r="408" customFormat="false" ht="15" hidden="false" customHeight="false" outlineLevel="0" collapsed="false">
      <c r="A408" s="12" t="n">
        <v>45576</v>
      </c>
      <c r="B408" s="13" t="n">
        <v>1758</v>
      </c>
      <c r="C408" s="14" t="n">
        <f aca="false">MIN(52,INT((A408-DATE(YEAR(A408),1,1))/7)+1)</f>
        <v>41</v>
      </c>
      <c r="D408" s="15" t="n">
        <v>8620</v>
      </c>
      <c r="E408" s="15" t="n">
        <v>292266</v>
      </c>
      <c r="F408" s="15" t="n">
        <v>258000</v>
      </c>
      <c r="G408" s="16" t="n">
        <f aca="false">$M$3+$M$4*B408</f>
        <v>8784.9874575717</v>
      </c>
      <c r="H408" s="17" t="n">
        <f aca="false">D408/G408</f>
        <v>0.981219386098326</v>
      </c>
      <c r="I408" s="18" t="n">
        <f aca="false">INDEX('2 Seasonal Index'!$D$3:$D$54,C408)</f>
        <v>0.995835782550445</v>
      </c>
      <c r="J408" s="16" t="n">
        <f aca="false">D408/I408</f>
        <v>8656.04565636639</v>
      </c>
      <c r="O408" s="14" t="n">
        <f aca="false">B408</f>
        <v>1758</v>
      </c>
      <c r="P408" s="16" t="n">
        <f aca="false">E408</f>
        <v>292266</v>
      </c>
      <c r="Q408" s="16" t="n">
        <f aca="false">F408</f>
        <v>258000</v>
      </c>
    </row>
    <row r="409" customFormat="false" ht="15" hidden="false" customHeight="false" outlineLevel="0" collapsed="false">
      <c r="A409" s="12" t="n">
        <v>45583</v>
      </c>
      <c r="B409" s="13" t="n">
        <v>1759</v>
      </c>
      <c r="C409" s="14" t="n">
        <f aca="false">MIN(52,INT((A409-DATE(YEAR(A409),1,1))/7)+1)</f>
        <v>42</v>
      </c>
      <c r="D409" s="15" t="n">
        <v>8838</v>
      </c>
      <c r="E409" s="15" t="n">
        <v>293332</v>
      </c>
      <c r="F409" s="15" t="n">
        <v>241000</v>
      </c>
      <c r="G409" s="16" t="n">
        <f aca="false">$M$3+$M$4*B409</f>
        <v>8783.81478263338</v>
      </c>
      <c r="H409" s="17" t="n">
        <f aca="false">D409/G409</f>
        <v>1.00616875682235</v>
      </c>
      <c r="I409" s="18" t="n">
        <f aca="false">INDEX('2 Seasonal Index'!$D$3:$D$54,C409)</f>
        <v>1.00307364557144</v>
      </c>
      <c r="J409" s="16" t="n">
        <f aca="false">D409/I409</f>
        <v>8810.91835980304</v>
      </c>
      <c r="O409" s="14" t="n">
        <f aca="false">B409</f>
        <v>1759</v>
      </c>
      <c r="P409" s="16" t="n">
        <f aca="false">E409</f>
        <v>293332</v>
      </c>
      <c r="Q409" s="16" t="n">
        <f aca="false">F409</f>
        <v>241000</v>
      </c>
    </row>
    <row r="410" customFormat="false" ht="15" hidden="false" customHeight="false" outlineLevel="0" collapsed="false">
      <c r="A410" s="12" t="n">
        <v>45590</v>
      </c>
      <c r="B410" s="13" t="n">
        <v>1760</v>
      </c>
      <c r="C410" s="14" t="n">
        <f aca="false">MIN(52,INT((A410-DATE(YEAR(A410),1,1))/7)+1)</f>
        <v>43</v>
      </c>
      <c r="D410" s="15" t="n">
        <v>9159</v>
      </c>
      <c r="E410" s="15" t="n">
        <v>293332</v>
      </c>
      <c r="F410" s="15" t="n">
        <v>227000</v>
      </c>
      <c r="G410" s="16" t="n">
        <f aca="false">$M$3+$M$4*B410</f>
        <v>8782.64210769507</v>
      </c>
      <c r="H410" s="17" t="n">
        <f aca="false">D410/G410</f>
        <v>1.04285246827662</v>
      </c>
      <c r="I410" s="18" t="n">
        <f aca="false">INDEX('2 Seasonal Index'!$D$3:$D$54,C410)</f>
        <v>1.01224087755293</v>
      </c>
      <c r="J410" s="16" t="n">
        <f aca="false">D410/I410</f>
        <v>9048.2415827166</v>
      </c>
      <c r="O410" s="14" t="n">
        <f aca="false">B410</f>
        <v>1760</v>
      </c>
      <c r="P410" s="16" t="n">
        <f aca="false">E410</f>
        <v>293332</v>
      </c>
      <c r="Q410" s="16" t="n">
        <f aca="false">F410</f>
        <v>227000</v>
      </c>
    </row>
    <row r="411" customFormat="false" ht="15" hidden="false" customHeight="false" outlineLevel="0" collapsed="false">
      <c r="A411" s="12" t="n">
        <v>45597</v>
      </c>
      <c r="B411" s="13" t="n">
        <v>1761</v>
      </c>
      <c r="C411" s="14" t="n">
        <f aca="false">MIN(52,INT((A411-DATE(YEAR(A411),1,1))/7)+1)</f>
        <v>44</v>
      </c>
      <c r="D411" s="15" t="n">
        <v>8828</v>
      </c>
      <c r="E411" s="15" t="n">
        <v>293332</v>
      </c>
      <c r="F411" s="15" t="n">
        <v>219000</v>
      </c>
      <c r="G411" s="16" t="n">
        <f aca="false">$M$3+$M$4*B411</f>
        <v>8781.46943275675</v>
      </c>
      <c r="H411" s="17" t="n">
        <f aca="false">D411/G411</f>
        <v>1.00529872222406</v>
      </c>
      <c r="I411" s="18" t="n">
        <f aca="false">INDEX('2 Seasonal Index'!$D$3:$D$54,C411)</f>
        <v>1.01203159220993</v>
      </c>
      <c r="J411" s="16" t="n">
        <f aca="false">D411/I411</f>
        <v>8723.04784549527</v>
      </c>
      <c r="O411" s="14" t="n">
        <f aca="false">B411</f>
        <v>1761</v>
      </c>
      <c r="P411" s="16" t="n">
        <f aca="false">E411</f>
        <v>293332</v>
      </c>
      <c r="Q411" s="16" t="n">
        <f aca="false">F411</f>
        <v>219000</v>
      </c>
    </row>
    <row r="412" customFormat="false" ht="15" hidden="false" customHeight="false" outlineLevel="0" collapsed="false">
      <c r="A412" s="12" t="n">
        <v>45604</v>
      </c>
      <c r="B412" s="13" t="n">
        <v>1762</v>
      </c>
      <c r="C412" s="14" t="n">
        <f aca="false">MIN(52,INT((A412-DATE(YEAR(A412),1,1))/7)+1)</f>
        <v>45</v>
      </c>
      <c r="D412" s="15" t="n">
        <v>9383</v>
      </c>
      <c r="E412" s="15" t="n">
        <v>293332</v>
      </c>
      <c r="F412" s="15" t="n">
        <v>221000</v>
      </c>
      <c r="G412" s="16" t="n">
        <f aca="false">$M$3+$M$4*B412</f>
        <v>8780.29675781843</v>
      </c>
      <c r="H412" s="17" t="n">
        <f aca="false">D412/G412</f>
        <v>1.068642696119</v>
      </c>
      <c r="I412" s="18" t="n">
        <f aca="false">INDEX('2 Seasonal Index'!$D$3:$D$54,C412)</f>
        <v>1.01104078083898</v>
      </c>
      <c r="J412" s="16" t="n">
        <f aca="false">D412/I412</f>
        <v>9280.53563993122</v>
      </c>
      <c r="O412" s="14" t="n">
        <f aca="false">B412</f>
        <v>1762</v>
      </c>
      <c r="P412" s="16" t="n">
        <f aca="false">E412</f>
        <v>293332</v>
      </c>
      <c r="Q412" s="16" t="n">
        <f aca="false">F412</f>
        <v>221000</v>
      </c>
    </row>
    <row r="413" customFormat="false" ht="15" hidden="false" customHeight="false" outlineLevel="0" collapsed="false">
      <c r="A413" s="12" t="n">
        <v>45611</v>
      </c>
      <c r="B413" s="13" t="n">
        <v>1763</v>
      </c>
      <c r="C413" s="14" t="n">
        <f aca="false">MIN(52,INT((A413-DATE(YEAR(A413),1,1))/7)+1)</f>
        <v>46</v>
      </c>
      <c r="D413" s="15" t="n">
        <v>8419</v>
      </c>
      <c r="E413" s="15" t="n">
        <v>274144</v>
      </c>
      <c r="F413" s="15" t="n">
        <v>218000</v>
      </c>
      <c r="G413" s="16" t="n">
        <f aca="false">$M$3+$M$4*B413</f>
        <v>8779.12408288011</v>
      </c>
      <c r="H413" s="17" t="n">
        <f aca="false">D413/G413</f>
        <v>0.958979497330221</v>
      </c>
      <c r="I413" s="18" t="n">
        <f aca="false">INDEX('2 Seasonal Index'!$D$3:$D$54,C413)</f>
        <v>0.986356106092814</v>
      </c>
      <c r="J413" s="16" t="n">
        <f aca="false">D413/I413</f>
        <v>8535.45686795575</v>
      </c>
      <c r="O413" s="14" t="n">
        <f aca="false">B413</f>
        <v>1763</v>
      </c>
      <c r="P413" s="16" t="n">
        <f aca="false">E413</f>
        <v>274144</v>
      </c>
      <c r="Q413" s="16" t="n">
        <f aca="false">F413</f>
        <v>218000</v>
      </c>
    </row>
    <row r="414" customFormat="false" ht="15" hidden="false" customHeight="false" outlineLevel="0" collapsed="false">
      <c r="A414" s="12" t="n">
        <v>45618</v>
      </c>
      <c r="B414" s="13" t="n">
        <v>1764</v>
      </c>
      <c r="C414" s="14" t="n">
        <f aca="false">MIN(52,INT((A414-DATE(YEAR(A414),1,1))/7)+1)</f>
        <v>47</v>
      </c>
      <c r="D414" s="15" t="n">
        <v>8506</v>
      </c>
      <c r="E414" s="15" t="n">
        <v>274144</v>
      </c>
      <c r="F414" s="15" t="n">
        <v>216000</v>
      </c>
      <c r="G414" s="16" t="n">
        <f aca="false">$M$3+$M$4*B414</f>
        <v>8777.95140794179</v>
      </c>
      <c r="H414" s="17" t="n">
        <f aca="false">D414/G414</f>
        <v>0.969018806860136</v>
      </c>
      <c r="I414" s="18" t="n">
        <f aca="false">INDEX('2 Seasonal Index'!$D$3:$D$54,C414)</f>
        <v>0.965789408729148</v>
      </c>
      <c r="J414" s="16" t="n">
        <f aca="false">D414/I414</f>
        <v>8807.30304465938</v>
      </c>
      <c r="O414" s="14" t="n">
        <f aca="false">B414</f>
        <v>1764</v>
      </c>
      <c r="P414" s="16" t="n">
        <f aca="false">E414</f>
        <v>274144</v>
      </c>
      <c r="Q414" s="16" t="n">
        <f aca="false">F414</f>
        <v>216000</v>
      </c>
    </row>
    <row r="415" customFormat="false" ht="15" hidden="false" customHeight="false" outlineLevel="0" collapsed="false">
      <c r="A415" s="12" t="n">
        <v>45625</v>
      </c>
      <c r="B415" s="13" t="n">
        <v>1765</v>
      </c>
      <c r="C415" s="14" t="n">
        <f aca="false">MIN(52,INT((A415-DATE(YEAR(A415),1,1))/7)+1)</f>
        <v>48</v>
      </c>
      <c r="D415" s="15" t="n">
        <v>8738</v>
      </c>
      <c r="E415" s="15" t="n">
        <v>274144</v>
      </c>
      <c r="F415" s="15" t="n">
        <v>219000</v>
      </c>
      <c r="G415" s="16" t="n">
        <f aca="false">$M$3+$M$4*B415</f>
        <v>8776.77873300347</v>
      </c>
      <c r="H415" s="17" t="n">
        <f aca="false">D415/G415</f>
        <v>0.995581666784232</v>
      </c>
      <c r="I415" s="18" t="n">
        <f aca="false">INDEX('2 Seasonal Index'!$D$3:$D$54,C415)</f>
        <v>0.974753768618106</v>
      </c>
      <c r="J415" s="16" t="n">
        <f aca="false">D415/I415</f>
        <v>8964.31517509056</v>
      </c>
      <c r="O415" s="14" t="n">
        <f aca="false">B415</f>
        <v>1765</v>
      </c>
      <c r="P415" s="16" t="n">
        <f aca="false">E415</f>
        <v>274144</v>
      </c>
      <c r="Q415" s="16" t="n">
        <f aca="false">F415</f>
        <v>219000</v>
      </c>
    </row>
    <row r="416" customFormat="false" ht="15" hidden="false" customHeight="false" outlineLevel="0" collapsed="false">
      <c r="A416" s="12" t="n">
        <v>45632</v>
      </c>
      <c r="B416" s="13" t="n">
        <v>1766</v>
      </c>
      <c r="C416" s="14" t="n">
        <f aca="false">MIN(52,INT((A416-DATE(YEAR(A416),1,1))/7)+1)</f>
        <v>49</v>
      </c>
      <c r="D416" s="15" t="n">
        <v>8810</v>
      </c>
      <c r="E416" s="15" t="n">
        <v>274144</v>
      </c>
      <c r="F416" s="15" t="n">
        <v>222000</v>
      </c>
      <c r="G416" s="16" t="n">
        <f aca="false">$M$3+$M$4*B416</f>
        <v>8775.60605806515</v>
      </c>
      <c r="H416" s="17" t="n">
        <f aca="false">D416/G416</f>
        <v>1.0039192668526</v>
      </c>
      <c r="I416" s="18" t="n">
        <f aca="false">INDEX('2 Seasonal Index'!$D$3:$D$54,C416)</f>
        <v>0.980293720669235</v>
      </c>
      <c r="J416" s="16" t="n">
        <f aca="false">D416/I416</f>
        <v>8987.10234926886</v>
      </c>
      <c r="O416" s="14" t="n">
        <f aca="false">B416</f>
        <v>1766</v>
      </c>
      <c r="P416" s="16" t="n">
        <f aca="false">E416</f>
        <v>274144</v>
      </c>
      <c r="Q416" s="16" t="n">
        <f aca="false">F416</f>
        <v>222000</v>
      </c>
    </row>
    <row r="417" customFormat="false" ht="15" hidden="false" customHeight="false" outlineLevel="0" collapsed="false">
      <c r="A417" s="12" t="n">
        <v>45639</v>
      </c>
      <c r="B417" s="13" t="n">
        <v>1767</v>
      </c>
      <c r="C417" s="14" t="n">
        <f aca="false">MIN(52,INT((A417-DATE(YEAR(A417),1,1))/7)+1)</f>
        <v>50</v>
      </c>
      <c r="D417" s="15" t="n">
        <v>8927</v>
      </c>
      <c r="E417" s="15" t="n">
        <v>274144</v>
      </c>
      <c r="F417" s="15" t="n">
        <v>238000</v>
      </c>
      <c r="G417" s="16" t="n">
        <f aca="false">$M$3+$M$4*B417</f>
        <v>8774.43338312683</v>
      </c>
      <c r="H417" s="17" t="n">
        <f aca="false">D417/G417</f>
        <v>1.01738763179473</v>
      </c>
      <c r="I417" s="18" t="n">
        <f aca="false">INDEX('2 Seasonal Index'!$D$3:$D$54,C417)</f>
        <v>1.00060911532618</v>
      </c>
      <c r="J417" s="16" t="n">
        <f aca="false">D417/I417</f>
        <v>8921.56573757572</v>
      </c>
      <c r="O417" s="14" t="n">
        <f aca="false">B417</f>
        <v>1767</v>
      </c>
      <c r="P417" s="16" t="n">
        <f aca="false">E417</f>
        <v>274144</v>
      </c>
      <c r="Q417" s="16" t="n">
        <f aca="false">F417</f>
        <v>238000</v>
      </c>
    </row>
    <row r="418" customFormat="false" ht="15" hidden="false" customHeight="false" outlineLevel="0" collapsed="false">
      <c r="A418" s="12" t="n">
        <v>45646</v>
      </c>
      <c r="B418" s="13" t="n">
        <v>1768</v>
      </c>
      <c r="C418" s="14" t="n">
        <f aca="false">MIN(52,INT((A418-DATE(YEAR(A418),1,1))/7)+1)</f>
        <v>51</v>
      </c>
      <c r="D418" s="15" t="n">
        <v>9008</v>
      </c>
      <c r="E418" s="15" t="n">
        <v>289477</v>
      </c>
      <c r="F418" s="15" t="n">
        <v>222000</v>
      </c>
      <c r="G418" s="16" t="n">
        <f aca="false">$M$3+$M$4*B418</f>
        <v>8773.26070818851</v>
      </c>
      <c r="H418" s="17" t="n">
        <f aca="false">D418/G418</f>
        <v>1.02675621979322</v>
      </c>
      <c r="I418" s="18" t="n">
        <f aca="false">INDEX('2 Seasonal Index'!$D$3:$D$54,C418)</f>
        <v>1.02197331378228</v>
      </c>
      <c r="J418" s="16" t="n">
        <f aca="false">D418/I418</f>
        <v>8814.32017697391</v>
      </c>
      <c r="O418" s="14" t="n">
        <f aca="false">B418</f>
        <v>1768</v>
      </c>
      <c r="P418" s="16" t="n">
        <f aca="false">E418</f>
        <v>289477</v>
      </c>
      <c r="Q418" s="16" t="n">
        <f aca="false">F418</f>
        <v>222000</v>
      </c>
    </row>
    <row r="419" customFormat="false" ht="15" hidden="false" customHeight="false" outlineLevel="0" collapsed="false">
      <c r="A419" s="12" t="n">
        <v>45653</v>
      </c>
      <c r="B419" s="13" t="n">
        <v>1769</v>
      </c>
      <c r="C419" s="14" t="n">
        <f aca="false">MIN(52,INT((A419-DATE(YEAR(A419),1,1))/7)+1)</f>
        <v>52</v>
      </c>
      <c r="D419" s="15" t="n">
        <v>8168</v>
      </c>
      <c r="E419" s="15" t="n">
        <v>289477</v>
      </c>
      <c r="F419" s="15" t="n">
        <v>219000</v>
      </c>
      <c r="G419" s="16" t="n">
        <f aca="false">$M$3+$M$4*B419</f>
        <v>8772.0880332502</v>
      </c>
      <c r="H419" s="17" t="n">
        <f aca="false">D419/G419</f>
        <v>0.931135206240472</v>
      </c>
      <c r="I419" s="18" t="n">
        <f aca="false">INDEX('2 Seasonal Index'!$D$3:$D$54,C419)</f>
        <v>0.941059701689701</v>
      </c>
      <c r="J419" s="16" t="n">
        <f aca="false">D419/I419</f>
        <v>8679.57684866763</v>
      </c>
      <c r="O419" s="14" t="n">
        <f aca="false">B419</f>
        <v>1769</v>
      </c>
      <c r="P419" s="16" t="n">
        <f aca="false">E419</f>
        <v>289477</v>
      </c>
      <c r="Q419" s="16" t="n">
        <f aca="false">F419</f>
        <v>219000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22"/>
  </cols>
  <sheetData>
    <row r="1" customFormat="false" ht="15" hidden="false" customHeight="false" outlineLevel="0" collapsed="false">
      <c r="A1" s="7" t="s">
        <v>42</v>
      </c>
    </row>
    <row r="2" customFormat="false" ht="45" hidden="false" customHeight="true" outlineLevel="0" collapsed="false">
      <c r="A2" s="9" t="s">
        <v>26</v>
      </c>
      <c r="B2" s="9" t="s">
        <v>43</v>
      </c>
      <c r="C2" s="9" t="s">
        <v>44</v>
      </c>
      <c r="D2" s="9" t="s">
        <v>45</v>
      </c>
    </row>
    <row r="3" customFormat="false" ht="15" hidden="false" customHeight="false" outlineLevel="0" collapsed="false">
      <c r="A3" s="14" t="n">
        <v>1</v>
      </c>
      <c r="B3" s="18" t="n">
        <f aca="false">AVERAGEIF('1 Training Data'!$C$3:$C$419,A3,'1 Training Data'!$H$3:$H$419)</f>
        <v>0.914784733883226</v>
      </c>
      <c r="C3" s="20" t="n">
        <f aca="false">COUNTIF('1 Training Data'!$C$3:$C$419,A3)</f>
        <v>8</v>
      </c>
      <c r="D3" s="17" t="n">
        <f aca="false">B3/AVERAGE($B$3:$B$54)</f>
        <v>0.914658189121246</v>
      </c>
      <c r="F3" s="8" t="s">
        <v>46</v>
      </c>
    </row>
    <row r="4" customFormat="false" ht="15" hidden="false" customHeight="false" outlineLevel="0" collapsed="false">
      <c r="A4" s="14" t="n">
        <v>2</v>
      </c>
      <c r="B4" s="18" t="n">
        <f aca="false">AVERAGEIF('1 Training Data'!$C$3:$C$419,A4,'1 Training Data'!$H$3:$H$419)</f>
        <v>0.921251160077827</v>
      </c>
      <c r="C4" s="20" t="n">
        <f aca="false">COUNTIF('1 Training Data'!$C$3:$C$419,A4)</f>
        <v>8</v>
      </c>
      <c r="D4" s="17" t="n">
        <f aca="false">B4/AVERAGE($B$3:$B$54)</f>
        <v>0.921123720796805</v>
      </c>
    </row>
    <row r="5" customFormat="false" ht="15" hidden="false" customHeight="false" outlineLevel="0" collapsed="false">
      <c r="A5" s="14" t="n">
        <v>3</v>
      </c>
      <c r="B5" s="18" t="n">
        <f aca="false">AVERAGEIF('1 Training Data'!$C$3:$C$419,A5,'1 Training Data'!$H$3:$H$419)</f>
        <v>0.932604719743567</v>
      </c>
      <c r="C5" s="20" t="n">
        <f aca="false">COUNTIF('1 Training Data'!$C$3:$C$419,A5)</f>
        <v>8</v>
      </c>
      <c r="D5" s="17" t="n">
        <f aca="false">B5/AVERAGE($B$3:$B$54)</f>
        <v>0.932475709892495</v>
      </c>
    </row>
    <row r="6" customFormat="false" ht="15" hidden="false" customHeight="false" outlineLevel="0" collapsed="false">
      <c r="A6" s="14" t="n">
        <v>4</v>
      </c>
      <c r="B6" s="18" t="n">
        <f aca="false">AVERAGEIF('1 Training Data'!$C$3:$C$419,A6,'1 Training Data'!$H$3:$H$419)</f>
        <v>0.955802463123606</v>
      </c>
      <c r="C6" s="20" t="n">
        <f aca="false">COUNTIF('1 Training Data'!$C$3:$C$419,A6)</f>
        <v>8</v>
      </c>
      <c r="D6" s="17" t="n">
        <f aca="false">B6/AVERAGE($B$3:$B$54)</f>
        <v>0.95567024426302</v>
      </c>
    </row>
    <row r="7" customFormat="false" ht="15" hidden="false" customHeight="false" outlineLevel="0" collapsed="false">
      <c r="A7" s="14" t="n">
        <v>5</v>
      </c>
      <c r="B7" s="18" t="n">
        <f aca="false">AVERAGEIF('1 Training Data'!$C$3:$C$419,A7,'1 Training Data'!$H$3:$H$419)</f>
        <v>0.963918552677729</v>
      </c>
      <c r="C7" s="20" t="n">
        <f aca="false">COUNTIF('1 Training Data'!$C$3:$C$419,A7)</f>
        <v>8</v>
      </c>
      <c r="D7" s="17" t="n">
        <f aca="false">B7/AVERAGE($B$3:$B$54)</f>
        <v>0.963785211095498</v>
      </c>
    </row>
    <row r="8" customFormat="false" ht="15" hidden="false" customHeight="false" outlineLevel="0" collapsed="false">
      <c r="A8" s="14" t="n">
        <v>6</v>
      </c>
      <c r="B8" s="18" t="n">
        <f aca="false">AVERAGEIF('1 Training Data'!$C$3:$C$419,A8,'1 Training Data'!$H$3:$H$419)</f>
        <v>0.940033055944998</v>
      </c>
      <c r="C8" s="20" t="n">
        <f aca="false">COUNTIF('1 Training Data'!$C$3:$C$419,A8)</f>
        <v>8</v>
      </c>
      <c r="D8" s="17" t="n">
        <f aca="false">B8/AVERAGE($B$3:$B$54)</f>
        <v>0.93990301851115</v>
      </c>
    </row>
    <row r="9" customFormat="false" ht="15" hidden="false" customHeight="false" outlineLevel="0" collapsed="false">
      <c r="A9" s="14" t="n">
        <v>7</v>
      </c>
      <c r="B9" s="18" t="n">
        <f aca="false">AVERAGEIF('1 Training Data'!$C$3:$C$419,A9,'1 Training Data'!$H$3:$H$419)</f>
        <v>0.963295349361759</v>
      </c>
      <c r="C9" s="20" t="n">
        <f aca="false">COUNTIF('1 Training Data'!$C$3:$C$419,A9)</f>
        <v>8</v>
      </c>
      <c r="D9" s="17" t="n">
        <f aca="false">B9/AVERAGE($B$3:$B$54)</f>
        <v>0.963162093989007</v>
      </c>
    </row>
    <row r="10" customFormat="false" ht="15" hidden="false" customHeight="false" outlineLevel="0" collapsed="false">
      <c r="A10" s="14" t="n">
        <v>8</v>
      </c>
      <c r="B10" s="18" t="n">
        <f aca="false">AVERAGEIF('1 Training Data'!$C$3:$C$419,A10,'1 Training Data'!$H$3:$H$419)</f>
        <v>0.978522418249337</v>
      </c>
      <c r="C10" s="20" t="n">
        <f aca="false">COUNTIF('1 Training Data'!$C$3:$C$419,A10)</f>
        <v>8</v>
      </c>
      <c r="D10" s="17" t="n">
        <f aca="false">B10/AVERAGE($B$3:$B$54)</f>
        <v>0.978387056473038</v>
      </c>
    </row>
    <row r="11" customFormat="false" ht="15" hidden="false" customHeight="false" outlineLevel="0" collapsed="false">
      <c r="A11" s="14" t="n">
        <v>9</v>
      </c>
      <c r="B11" s="18" t="n">
        <f aca="false">AVERAGEIF('1 Training Data'!$C$3:$C$419,A11,'1 Training Data'!$H$3:$H$419)</f>
        <v>0.986430131947897</v>
      </c>
      <c r="C11" s="20" t="n">
        <f aca="false">COUNTIF('1 Training Data'!$C$3:$C$419,A11)</f>
        <v>8</v>
      </c>
      <c r="D11" s="17" t="n">
        <f aca="false">B11/AVERAGE($B$3:$B$54)</f>
        <v>0.986293676275175</v>
      </c>
    </row>
    <row r="12" customFormat="false" ht="15" hidden="false" customHeight="false" outlineLevel="0" collapsed="false">
      <c r="A12" s="14" t="n">
        <v>10</v>
      </c>
      <c r="B12" s="18" t="n">
        <f aca="false">AVERAGEIF('1 Training Data'!$C$3:$C$419,A12,'1 Training Data'!$H$3:$H$419)</f>
        <v>0.995412605462589</v>
      </c>
      <c r="C12" s="20" t="n">
        <f aca="false">COUNTIF('1 Training Data'!$C$3:$C$419,A12)</f>
        <v>8</v>
      </c>
      <c r="D12" s="17" t="n">
        <f aca="false">B12/AVERAGE($B$3:$B$54)</f>
        <v>0.995274907218877</v>
      </c>
    </row>
    <row r="13" customFormat="false" ht="15" hidden="false" customHeight="false" outlineLevel="0" collapsed="false">
      <c r="A13" s="14" t="n">
        <v>11</v>
      </c>
      <c r="B13" s="18" t="n">
        <f aca="false">AVERAGEIF('1 Training Data'!$C$3:$C$419,A13,'1 Training Data'!$H$3:$H$419)</f>
        <v>1.00226639930931</v>
      </c>
      <c r="C13" s="20" t="n">
        <f aca="false">COUNTIF('1 Training Data'!$C$3:$C$419,A13)</f>
        <v>8</v>
      </c>
      <c r="D13" s="17" t="n">
        <f aca="false">B13/AVERAGE($B$3:$B$54)</f>
        <v>1.00212775296089</v>
      </c>
    </row>
    <row r="14" customFormat="false" ht="15" hidden="false" customHeight="false" outlineLevel="0" collapsed="false">
      <c r="A14" s="14" t="n">
        <v>12</v>
      </c>
      <c r="B14" s="18" t="n">
        <f aca="false">AVERAGEIF('1 Training Data'!$C$3:$C$419,A14,'1 Training Data'!$H$3:$H$419)</f>
        <v>0.992688345870691</v>
      </c>
      <c r="C14" s="20" t="n">
        <f aca="false">COUNTIF('1 Training Data'!$C$3:$C$419,A14)</f>
        <v>8</v>
      </c>
      <c r="D14" s="17" t="n">
        <f aca="false">B14/AVERAGE($B$3:$B$54)</f>
        <v>0.99255102448152</v>
      </c>
    </row>
    <row r="15" customFormat="false" ht="15" hidden="false" customHeight="false" outlineLevel="0" collapsed="false">
      <c r="A15" s="14" t="n">
        <v>13</v>
      </c>
      <c r="B15" s="18" t="n">
        <f aca="false">AVERAGEIF('1 Training Data'!$C$3:$C$419,A15,'1 Training Data'!$H$3:$H$419)</f>
        <v>1.00685918923598</v>
      </c>
      <c r="C15" s="20" t="n">
        <f aca="false">COUNTIF('1 Training Data'!$C$3:$C$419,A15)</f>
        <v>8</v>
      </c>
      <c r="D15" s="17" t="n">
        <f aca="false">B15/AVERAGE($B$3:$B$54)</f>
        <v>1.00671990755393</v>
      </c>
    </row>
    <row r="16" customFormat="false" ht="15" hidden="false" customHeight="false" outlineLevel="0" collapsed="false">
      <c r="A16" s="14" t="n">
        <v>14</v>
      </c>
      <c r="B16" s="18" t="n">
        <f aca="false">AVERAGEIF('1 Training Data'!$C$3:$C$419,A16,'1 Training Data'!$H$3:$H$419)</f>
        <v>0.994850685561934</v>
      </c>
      <c r="C16" s="20" t="n">
        <f aca="false">COUNTIF('1 Training Data'!$C$3:$C$419,A16)</f>
        <v>8</v>
      </c>
      <c r="D16" s="17" t="n">
        <f aca="false">B16/AVERAGE($B$3:$B$54)</f>
        <v>0.994713065050192</v>
      </c>
    </row>
    <row r="17" customFormat="false" ht="15" hidden="false" customHeight="false" outlineLevel="0" collapsed="false">
      <c r="A17" s="14" t="n">
        <v>15</v>
      </c>
      <c r="B17" s="18" t="n">
        <f aca="false">AVERAGEIF('1 Training Data'!$C$3:$C$419,A17,'1 Training Data'!$H$3:$H$419)</f>
        <v>1.00316968701848</v>
      </c>
      <c r="C17" s="20" t="n">
        <f aca="false">COUNTIF('1 Training Data'!$C$3:$C$419,A17)</f>
        <v>8</v>
      </c>
      <c r="D17" s="17" t="n">
        <f aca="false">B17/AVERAGE($B$3:$B$54)</f>
        <v>1.00303091571571</v>
      </c>
    </row>
    <row r="18" customFormat="false" ht="15" hidden="false" customHeight="false" outlineLevel="0" collapsed="false">
      <c r="A18" s="14" t="n">
        <v>16</v>
      </c>
      <c r="B18" s="18" t="n">
        <f aca="false">AVERAGEIF('1 Training Data'!$C$3:$C$419,A18,'1 Training Data'!$H$3:$H$419)</f>
        <v>1.00223605017556</v>
      </c>
      <c r="C18" s="20" t="n">
        <f aca="false">COUNTIF('1 Training Data'!$C$3:$C$419,A18)</f>
        <v>8</v>
      </c>
      <c r="D18" s="17" t="n">
        <f aca="false">B18/AVERAGE($B$3:$B$54)</f>
        <v>1.00209740802543</v>
      </c>
    </row>
    <row r="19" customFormat="false" ht="15" hidden="false" customHeight="false" outlineLevel="0" collapsed="false">
      <c r="A19" s="14" t="n">
        <v>17</v>
      </c>
      <c r="B19" s="18" t="n">
        <f aca="false">AVERAGEIF('1 Training Data'!$C$3:$C$419,A19,'1 Training Data'!$H$3:$H$419)</f>
        <v>0.985856385389872</v>
      </c>
      <c r="C19" s="20" t="n">
        <f aca="false">COUNTIF('1 Training Data'!$C$3:$C$419,A19)</f>
        <v>8</v>
      </c>
      <c r="D19" s="17" t="n">
        <f aca="false">B19/AVERAGE($B$3:$B$54)</f>
        <v>0.985720009085136</v>
      </c>
    </row>
    <row r="20" customFormat="false" ht="15" hidden="false" customHeight="false" outlineLevel="0" collapsed="false">
      <c r="A20" s="14" t="n">
        <v>18</v>
      </c>
      <c r="B20" s="18" t="n">
        <f aca="false">AVERAGEIF('1 Training Data'!$C$3:$C$419,A20,'1 Training Data'!$H$3:$H$419)</f>
        <v>1.01828101170438</v>
      </c>
      <c r="C20" s="20" t="n">
        <f aca="false">COUNTIF('1 Training Data'!$C$3:$C$419,A20)</f>
        <v>8</v>
      </c>
      <c r="D20" s="17" t="n">
        <f aca="false">B20/AVERAGE($B$3:$B$54)</f>
        <v>1.01814015000929</v>
      </c>
    </row>
    <row r="21" customFormat="false" ht="15" hidden="false" customHeight="false" outlineLevel="0" collapsed="false">
      <c r="A21" s="14" t="n">
        <v>19</v>
      </c>
      <c r="B21" s="18" t="n">
        <f aca="false">AVERAGEIF('1 Training Data'!$C$3:$C$419,A21,'1 Training Data'!$H$3:$H$419)</f>
        <v>1.01351144109585</v>
      </c>
      <c r="C21" s="20" t="n">
        <f aca="false">COUNTIF('1 Training Data'!$C$3:$C$419,A21)</f>
        <v>8</v>
      </c>
      <c r="D21" s="17" t="n">
        <f aca="false">B21/AVERAGE($B$3:$B$54)</f>
        <v>1.01337123918897</v>
      </c>
    </row>
    <row r="22" customFormat="false" ht="15" hidden="false" customHeight="false" outlineLevel="0" collapsed="false">
      <c r="A22" s="14" t="n">
        <v>20</v>
      </c>
      <c r="B22" s="18" t="n">
        <f aca="false">AVERAGEIF('1 Training Data'!$C$3:$C$419,A22,'1 Training Data'!$H$3:$H$419)</f>
        <v>1.03565517629563</v>
      </c>
      <c r="C22" s="20" t="n">
        <f aca="false">COUNTIF('1 Training Data'!$C$3:$C$419,A22)</f>
        <v>8</v>
      </c>
      <c r="D22" s="17" t="n">
        <f aca="false">B22/AVERAGE($B$3:$B$54)</f>
        <v>1.03551191118317</v>
      </c>
    </row>
    <row r="23" customFormat="false" ht="15" hidden="false" customHeight="false" outlineLevel="0" collapsed="false">
      <c r="A23" s="14" t="n">
        <v>21</v>
      </c>
      <c r="B23" s="18" t="n">
        <f aca="false">AVERAGEIF('1 Training Data'!$C$3:$C$419,A23,'1 Training Data'!$H$3:$H$419)</f>
        <v>1.03536780614083</v>
      </c>
      <c r="C23" s="20" t="n">
        <f aca="false">COUNTIF('1 Training Data'!$C$3:$C$419,A23)</f>
        <v>8</v>
      </c>
      <c r="D23" s="17" t="n">
        <f aca="false">B23/AVERAGE($B$3:$B$54)</f>
        <v>1.0352245807811</v>
      </c>
    </row>
    <row r="24" customFormat="false" ht="15" hidden="false" customHeight="false" outlineLevel="0" collapsed="false">
      <c r="A24" s="14" t="n">
        <v>22</v>
      </c>
      <c r="B24" s="18" t="n">
        <f aca="false">AVERAGEIF('1 Training Data'!$C$3:$C$419,A24,'1 Training Data'!$H$3:$H$419)</f>
        <v>1.01411945618594</v>
      </c>
      <c r="C24" s="20" t="n">
        <f aca="false">COUNTIF('1 Training Data'!$C$3:$C$419,A24)</f>
        <v>8</v>
      </c>
      <c r="D24" s="17" t="n">
        <f aca="false">B24/AVERAGE($B$3:$B$54)</f>
        <v>1.01397917017061</v>
      </c>
    </row>
    <row r="25" customFormat="false" ht="15" hidden="false" customHeight="false" outlineLevel="0" collapsed="false">
      <c r="A25" s="14" t="n">
        <v>23</v>
      </c>
      <c r="B25" s="18" t="n">
        <f aca="false">AVERAGEIF('1 Training Data'!$C$3:$C$419,A25,'1 Training Data'!$H$3:$H$419)</f>
        <v>1.03770328522513</v>
      </c>
      <c r="C25" s="20" t="n">
        <f aca="false">COUNTIF('1 Training Data'!$C$3:$C$419,A25)</f>
        <v>8</v>
      </c>
      <c r="D25" s="17" t="n">
        <f aca="false">B25/AVERAGE($B$3:$B$54)</f>
        <v>1.03755973679196</v>
      </c>
    </row>
    <row r="26" customFormat="false" ht="15" hidden="false" customHeight="false" outlineLevel="0" collapsed="false">
      <c r="A26" s="14" t="n">
        <v>24</v>
      </c>
      <c r="B26" s="18" t="n">
        <f aca="false">AVERAGEIF('1 Training Data'!$C$3:$C$419,A26,'1 Training Data'!$H$3:$H$419)</f>
        <v>1.03459444305905</v>
      </c>
      <c r="C26" s="20" t="n">
        <f aca="false">COUNTIF('1 Training Data'!$C$3:$C$419,A26)</f>
        <v>8</v>
      </c>
      <c r="D26" s="17" t="n">
        <f aca="false">B26/AVERAGE($B$3:$B$54)</f>
        <v>1.03445132468082</v>
      </c>
    </row>
    <row r="27" customFormat="false" ht="15" hidden="false" customHeight="false" outlineLevel="0" collapsed="false">
      <c r="A27" s="14" t="n">
        <v>25</v>
      </c>
      <c r="B27" s="18" t="n">
        <f aca="false">AVERAGEIF('1 Training Data'!$C$3:$C$419,A27,'1 Training Data'!$H$3:$H$419)</f>
        <v>1.03620403413683</v>
      </c>
      <c r="C27" s="20" t="n">
        <f aca="false">COUNTIF('1 Training Data'!$C$3:$C$419,A27)</f>
        <v>8</v>
      </c>
      <c r="D27" s="17" t="n">
        <f aca="false">B27/AVERAGE($B$3:$B$54)</f>
        <v>1.03606069309931</v>
      </c>
    </row>
    <row r="28" customFormat="false" ht="15" hidden="false" customHeight="false" outlineLevel="0" collapsed="false">
      <c r="A28" s="14" t="n">
        <v>26</v>
      </c>
      <c r="B28" s="18" t="n">
        <f aca="false">AVERAGEIF('1 Training Data'!$C$3:$C$419,A28,'1 Training Data'!$H$3:$H$419)</f>
        <v>1.05789738364876</v>
      </c>
      <c r="C28" s="20" t="n">
        <f aca="false">COUNTIF('1 Training Data'!$C$3:$C$419,A28)</f>
        <v>8</v>
      </c>
      <c r="D28" s="17" t="n">
        <f aca="false">B28/AVERAGE($B$3:$B$54)</f>
        <v>1.05775104170879</v>
      </c>
    </row>
    <row r="29" customFormat="false" ht="15" hidden="false" customHeight="false" outlineLevel="0" collapsed="false">
      <c r="A29" s="14" t="n">
        <v>27</v>
      </c>
      <c r="B29" s="18" t="n">
        <f aca="false">AVERAGEIF('1 Training Data'!$C$3:$C$419,A29,'1 Training Data'!$H$3:$H$419)</f>
        <v>1.02140317862716</v>
      </c>
      <c r="C29" s="20" t="n">
        <f aca="false">COUNTIF('1 Training Data'!$C$3:$C$419,A29)</f>
        <v>8</v>
      </c>
      <c r="D29" s="17" t="n">
        <f aca="false">B29/AVERAGE($B$3:$B$54)</f>
        <v>1.02126188503389</v>
      </c>
    </row>
    <row r="30" customFormat="false" ht="15" hidden="false" customHeight="false" outlineLevel="0" collapsed="false">
      <c r="A30" s="14" t="n">
        <v>28</v>
      </c>
      <c r="B30" s="18" t="n">
        <f aca="false">AVERAGEIF('1 Training Data'!$C$3:$C$419,A30,'1 Training Data'!$H$3:$H$419)</f>
        <v>1.01364924578578</v>
      </c>
      <c r="C30" s="20" t="n">
        <f aca="false">COUNTIF('1 Training Data'!$C$3:$C$419,A30)</f>
        <v>8</v>
      </c>
      <c r="D30" s="17" t="n">
        <f aca="false">B30/AVERAGE($B$3:$B$54)</f>
        <v>1.01350902481598</v>
      </c>
    </row>
    <row r="31" customFormat="false" ht="15" hidden="false" customHeight="false" outlineLevel="0" collapsed="false">
      <c r="A31" s="14" t="n">
        <v>29</v>
      </c>
      <c r="B31" s="18" t="n">
        <f aca="false">AVERAGEIF('1 Training Data'!$C$3:$C$419,A31,'1 Training Data'!$H$3:$H$419)</f>
        <v>1.05210221914321</v>
      </c>
      <c r="C31" s="20" t="n">
        <f aca="false">COUNTIF('1 Training Data'!$C$3:$C$419,A31)</f>
        <v>8</v>
      </c>
      <c r="D31" s="17" t="n">
        <f aca="false">B31/AVERAGE($B$3:$B$54)</f>
        <v>1.05195667886475</v>
      </c>
    </row>
    <row r="32" customFormat="false" ht="15" hidden="false" customHeight="false" outlineLevel="0" collapsed="false">
      <c r="A32" s="14" t="n">
        <v>30</v>
      </c>
      <c r="B32" s="18" t="n">
        <f aca="false">AVERAGEIF('1 Training Data'!$C$3:$C$419,A32,'1 Training Data'!$H$3:$H$419)</f>
        <v>1.03185578106764</v>
      </c>
      <c r="C32" s="20" t="n">
        <f aca="false">COUNTIF('1 Training Data'!$C$3:$C$419,A32)</f>
        <v>8</v>
      </c>
      <c r="D32" s="17" t="n">
        <f aca="false">B32/AVERAGE($B$3:$B$54)</f>
        <v>1.03171304153628</v>
      </c>
    </row>
    <row r="33" customFormat="false" ht="15" hidden="false" customHeight="false" outlineLevel="0" collapsed="false">
      <c r="A33" s="14" t="n">
        <v>31</v>
      </c>
      <c r="B33" s="18" t="n">
        <f aca="false">AVERAGEIF('1 Training Data'!$C$3:$C$419,A33,'1 Training Data'!$H$3:$H$419)</f>
        <v>1.04011710240455</v>
      </c>
      <c r="C33" s="20" t="n">
        <f aca="false">COUNTIF('1 Training Data'!$C$3:$C$419,A33)</f>
        <v>8</v>
      </c>
      <c r="D33" s="17" t="n">
        <f aca="false">B33/AVERAGE($B$3:$B$54)</f>
        <v>1.03997322006122</v>
      </c>
    </row>
    <row r="34" customFormat="false" ht="15" hidden="false" customHeight="false" outlineLevel="0" collapsed="false">
      <c r="A34" s="14" t="n">
        <v>32</v>
      </c>
      <c r="B34" s="18" t="n">
        <f aca="false">AVERAGEIF('1 Training Data'!$C$3:$C$419,A34,'1 Training Data'!$H$3:$H$419)</f>
        <v>1.04076090314387</v>
      </c>
      <c r="C34" s="20" t="n">
        <f aca="false">COUNTIF('1 Training Data'!$C$3:$C$419,A34)</f>
        <v>8</v>
      </c>
      <c r="D34" s="17" t="n">
        <f aca="false">B34/AVERAGE($B$3:$B$54)</f>
        <v>1.04061693174176</v>
      </c>
    </row>
    <row r="35" customFormat="false" ht="15" hidden="false" customHeight="false" outlineLevel="0" collapsed="false">
      <c r="A35" s="14" t="n">
        <v>33</v>
      </c>
      <c r="B35" s="18" t="n">
        <f aca="false">AVERAGEIF('1 Training Data'!$C$3:$C$419,A35,'1 Training Data'!$H$3:$H$419)</f>
        <v>1.02762021944851</v>
      </c>
      <c r="C35" s="20" t="n">
        <f aca="false">COUNTIF('1 Training Data'!$C$3:$C$419,A35)</f>
        <v>8</v>
      </c>
      <c r="D35" s="17" t="n">
        <f aca="false">B35/AVERAGE($B$3:$B$54)</f>
        <v>1.02747806583438</v>
      </c>
    </row>
    <row r="36" customFormat="false" ht="15" hidden="false" customHeight="false" outlineLevel="0" collapsed="false">
      <c r="A36" s="14" t="n">
        <v>34</v>
      </c>
      <c r="B36" s="18" t="n">
        <f aca="false">AVERAGEIF('1 Training Data'!$C$3:$C$419,A36,'1 Training Data'!$H$3:$H$419)</f>
        <v>1.0383076167062</v>
      </c>
      <c r="C36" s="20" t="n">
        <f aca="false">COUNTIF('1 Training Data'!$C$3:$C$419,A36)</f>
        <v>8</v>
      </c>
      <c r="D36" s="17" t="n">
        <f aca="false">B36/AVERAGE($B$3:$B$54)</f>
        <v>1.03816398467415</v>
      </c>
    </row>
    <row r="37" customFormat="false" ht="15" hidden="false" customHeight="false" outlineLevel="0" collapsed="false">
      <c r="A37" s="14" t="n">
        <v>35</v>
      </c>
      <c r="B37" s="18" t="n">
        <f aca="false">AVERAGEIF('1 Training Data'!$C$3:$C$419,A37,'1 Training Data'!$H$3:$H$419)</f>
        <v>1.02260741884738</v>
      </c>
      <c r="C37" s="20" t="n">
        <f aca="false">COUNTIF('1 Training Data'!$C$3:$C$419,A37)</f>
        <v>8</v>
      </c>
      <c r="D37" s="17" t="n">
        <f aca="false">B37/AVERAGE($B$3:$B$54)</f>
        <v>1.02246595866814</v>
      </c>
    </row>
    <row r="38" customFormat="false" ht="15" hidden="false" customHeight="false" outlineLevel="0" collapsed="false">
      <c r="A38" s="14" t="n">
        <v>36</v>
      </c>
      <c r="B38" s="18" t="n">
        <f aca="false">AVERAGEIF('1 Training Data'!$C$3:$C$419,A38,'1 Training Data'!$H$3:$H$419)</f>
        <v>1.00374968981687</v>
      </c>
      <c r="C38" s="20" t="n">
        <f aca="false">COUNTIF('1 Training Data'!$C$3:$C$419,A38)</f>
        <v>8</v>
      </c>
      <c r="D38" s="17" t="n">
        <f aca="false">B38/AVERAGE($B$3:$B$54)</f>
        <v>1.00361083828068</v>
      </c>
    </row>
    <row r="39" customFormat="false" ht="15" hidden="false" customHeight="false" outlineLevel="0" collapsed="false">
      <c r="A39" s="14" t="n">
        <v>37</v>
      </c>
      <c r="B39" s="18" t="n">
        <f aca="false">AVERAGEIF('1 Training Data'!$C$3:$C$419,A39,'1 Training Data'!$H$3:$H$419)</f>
        <v>0.988246147008429</v>
      </c>
      <c r="C39" s="20" t="n">
        <f aca="false">COUNTIF('1 Training Data'!$C$3:$C$419,A39)</f>
        <v>8</v>
      </c>
      <c r="D39" s="17" t="n">
        <f aca="false">B39/AVERAGE($B$3:$B$54)</f>
        <v>0.988109440121203</v>
      </c>
    </row>
    <row r="40" customFormat="false" ht="15" hidden="false" customHeight="false" outlineLevel="0" collapsed="false">
      <c r="A40" s="14" t="n">
        <v>38</v>
      </c>
      <c r="B40" s="18" t="n">
        <f aca="false">AVERAGEIF('1 Training Data'!$C$3:$C$419,A40,'1 Training Data'!$H$3:$H$419)</f>
        <v>1.010100548596</v>
      </c>
      <c r="C40" s="20" t="n">
        <f aca="false">COUNTIF('1 Training Data'!$C$3:$C$419,A40)</f>
        <v>8</v>
      </c>
      <c r="D40" s="17" t="n">
        <f aca="false">B40/AVERAGE($B$3:$B$54)</f>
        <v>1.00996081852754</v>
      </c>
    </row>
    <row r="41" customFormat="false" ht="15" hidden="false" customHeight="false" outlineLevel="0" collapsed="false">
      <c r="A41" s="14" t="n">
        <v>39</v>
      </c>
      <c r="B41" s="18" t="n">
        <f aca="false">AVERAGEIF('1 Training Data'!$C$3:$C$419,A41,'1 Training Data'!$H$3:$H$419)</f>
        <v>0.982848157449661</v>
      </c>
      <c r="C41" s="20" t="n">
        <f aca="false">COUNTIF('1 Training Data'!$C$3:$C$419,A41)</f>
        <v>8</v>
      </c>
      <c r="D41" s="17" t="n">
        <f aca="false">B41/AVERAGE($B$3:$B$54)</f>
        <v>0.982712197281613</v>
      </c>
    </row>
    <row r="42" customFormat="false" ht="15" hidden="false" customHeight="false" outlineLevel="0" collapsed="false">
      <c r="A42" s="14" t="n">
        <v>40</v>
      </c>
      <c r="B42" s="18" t="n">
        <f aca="false">AVERAGEIF('1 Training Data'!$C$3:$C$419,A42,'1 Training Data'!$H$3:$H$419)</f>
        <v>1.00380520201945</v>
      </c>
      <c r="C42" s="20" t="n">
        <f aca="false">COUNTIF('1 Training Data'!$C$3:$C$419,A42)</f>
        <v>8</v>
      </c>
      <c r="D42" s="17" t="n">
        <f aca="false">B42/AVERAGE($B$3:$B$54)</f>
        <v>1.0036663428041</v>
      </c>
    </row>
    <row r="43" customFormat="false" ht="15" hidden="false" customHeight="false" outlineLevel="0" collapsed="false">
      <c r="A43" s="14" t="n">
        <v>41</v>
      </c>
      <c r="B43" s="18" t="n">
        <f aca="false">AVERAGEIF('1 Training Data'!$C$3:$C$419,A43,'1 Training Data'!$H$3:$H$419)</f>
        <v>0.995973558392364</v>
      </c>
      <c r="C43" s="20" t="n">
        <f aca="false">COUNTIF('1 Training Data'!$C$3:$C$419,A43)</f>
        <v>8</v>
      </c>
      <c r="D43" s="17" t="n">
        <f aca="false">B43/AVERAGE($B$3:$B$54)</f>
        <v>0.995835782550445</v>
      </c>
    </row>
    <row r="44" customFormat="false" ht="15" hidden="false" customHeight="false" outlineLevel="0" collapsed="false">
      <c r="A44" s="14" t="n">
        <v>42</v>
      </c>
      <c r="B44" s="18" t="n">
        <f aca="false">AVERAGEIF('1 Training Data'!$C$3:$C$419,A44,'1 Training Data'!$H$3:$H$419)</f>
        <v>1.00321242278597</v>
      </c>
      <c r="C44" s="20" t="n">
        <f aca="false">COUNTIF('1 Training Data'!$C$3:$C$419,A44)</f>
        <v>8</v>
      </c>
      <c r="D44" s="17" t="n">
        <f aca="false">B44/AVERAGE($B$3:$B$54)</f>
        <v>1.00307364557144</v>
      </c>
    </row>
    <row r="45" customFormat="false" ht="15" hidden="false" customHeight="false" outlineLevel="0" collapsed="false">
      <c r="A45" s="14" t="n">
        <v>43</v>
      </c>
      <c r="B45" s="18" t="n">
        <f aca="false">AVERAGEIF('1 Training Data'!$C$3:$C$419,A45,'1 Training Data'!$H$3:$H$419)</f>
        <v>1.01238092307206</v>
      </c>
      <c r="C45" s="20" t="n">
        <f aca="false">COUNTIF('1 Training Data'!$C$3:$C$419,A45)</f>
        <v>8</v>
      </c>
      <c r="D45" s="17" t="n">
        <f aca="false">B45/AVERAGE($B$3:$B$54)</f>
        <v>1.01224087755293</v>
      </c>
    </row>
    <row r="46" customFormat="false" ht="15" hidden="false" customHeight="false" outlineLevel="0" collapsed="false">
      <c r="A46" s="14" t="n">
        <v>44</v>
      </c>
      <c r="B46" s="18" t="n">
        <f aca="false">AVERAGEIF('1 Training Data'!$C$3:$C$419,A46,'1 Training Data'!$H$3:$H$419)</f>
        <v>1.01217160877402</v>
      </c>
      <c r="C46" s="20" t="n">
        <f aca="false">COUNTIF('1 Training Data'!$C$3:$C$419,A46)</f>
        <v>8</v>
      </c>
      <c r="D46" s="17" t="n">
        <f aca="false">B46/AVERAGE($B$3:$B$54)</f>
        <v>1.01203159220993</v>
      </c>
    </row>
    <row r="47" customFormat="false" ht="15" hidden="false" customHeight="false" outlineLevel="0" collapsed="false">
      <c r="A47" s="14" t="n">
        <v>45</v>
      </c>
      <c r="B47" s="18" t="n">
        <f aca="false">AVERAGEIF('1 Training Data'!$C$3:$C$419,A47,'1 Training Data'!$H$3:$H$419)</f>
        <v>1.01118066032236</v>
      </c>
      <c r="C47" s="20" t="n">
        <f aca="false">COUNTIF('1 Training Data'!$C$3:$C$419,A47)</f>
        <v>8</v>
      </c>
      <c r="D47" s="17" t="n">
        <f aca="false">B47/AVERAGE($B$3:$B$54)</f>
        <v>1.01104078083898</v>
      </c>
    </row>
    <row r="48" customFormat="false" ht="15" hidden="false" customHeight="false" outlineLevel="0" collapsed="false">
      <c r="A48" s="14" t="n">
        <v>46</v>
      </c>
      <c r="B48" s="18" t="n">
        <f aca="false">AVERAGEIF('1 Training Data'!$C$3:$C$419,A48,'1 Training Data'!$H$3:$H$419)</f>
        <v>0.986492570402823</v>
      </c>
      <c r="C48" s="20" t="n">
        <f aca="false">COUNTIF('1 Training Data'!$C$3:$C$419,A48)</f>
        <v>8</v>
      </c>
      <c r="D48" s="17" t="n">
        <f aca="false">B48/AVERAGE($B$3:$B$54)</f>
        <v>0.986356106092814</v>
      </c>
    </row>
    <row r="49" customFormat="false" ht="15" hidden="false" customHeight="false" outlineLevel="0" collapsed="false">
      <c r="A49" s="14" t="n">
        <v>47</v>
      </c>
      <c r="B49" s="18" t="n">
        <f aca="false">AVERAGEIF('1 Training Data'!$C$3:$C$419,A49,'1 Training Data'!$H$3:$H$419)</f>
        <v>0.965923027596069</v>
      </c>
      <c r="C49" s="20" t="n">
        <f aca="false">COUNTIF('1 Training Data'!$C$3:$C$419,A49)</f>
        <v>8</v>
      </c>
      <c r="D49" s="17" t="n">
        <f aca="false">B49/AVERAGE($B$3:$B$54)</f>
        <v>0.965789408729148</v>
      </c>
    </row>
    <row r="50" customFormat="false" ht="15" hidden="false" customHeight="false" outlineLevel="0" collapsed="false">
      <c r="A50" s="14" t="n">
        <v>48</v>
      </c>
      <c r="B50" s="18" t="n">
        <f aca="false">AVERAGEIF('1 Training Data'!$C$3:$C$419,A50,'1 Training Data'!$H$3:$H$419)</f>
        <v>0.974888627721874</v>
      </c>
      <c r="C50" s="20" t="n">
        <f aca="false">COUNTIF('1 Training Data'!$C$3:$C$419,A50)</f>
        <v>8</v>
      </c>
      <c r="D50" s="17" t="n">
        <f aca="false">B50/AVERAGE($B$3:$B$54)</f>
        <v>0.974753768618106</v>
      </c>
    </row>
    <row r="51" customFormat="false" ht="15" hidden="false" customHeight="false" outlineLevel="0" collapsed="false">
      <c r="A51" s="14" t="n">
        <v>49</v>
      </c>
      <c r="B51" s="18" t="n">
        <f aca="false">AVERAGEIF('1 Training Data'!$C$3:$C$419,A51,'1 Training Data'!$H$3:$H$419)</f>
        <v>0.980429346236281</v>
      </c>
      <c r="C51" s="20" t="n">
        <f aca="false">COUNTIF('1 Training Data'!$C$3:$C$419,A51)</f>
        <v>8</v>
      </c>
      <c r="D51" s="17" t="n">
        <f aca="false">B51/AVERAGE($B$3:$B$54)</f>
        <v>0.980293720669235</v>
      </c>
    </row>
    <row r="52" customFormat="false" ht="15" hidden="false" customHeight="false" outlineLevel="0" collapsed="false">
      <c r="A52" s="14" t="n">
        <v>50</v>
      </c>
      <c r="B52" s="18" t="n">
        <f aca="false">AVERAGEIF('1 Training Data'!$C$3:$C$419,A52,'1 Training Data'!$H$3:$H$419)</f>
        <v>1.00074755156809</v>
      </c>
      <c r="C52" s="20" t="n">
        <f aca="false">COUNTIF('1 Training Data'!$C$3:$C$419,A52)</f>
        <v>8</v>
      </c>
      <c r="D52" s="17" t="n">
        <f aca="false">B52/AVERAGE($B$3:$B$54)</f>
        <v>1.00060911532618</v>
      </c>
    </row>
    <row r="53" customFormat="false" ht="15" hidden="false" customHeight="false" outlineLevel="0" collapsed="false">
      <c r="A53" s="14" t="n">
        <v>51</v>
      </c>
      <c r="B53" s="18" t="n">
        <f aca="false">AVERAGEIF('1 Training Data'!$C$3:$C$419,A53,'1 Training Data'!$H$3:$H$419)</f>
        <v>1.02211470580312</v>
      </c>
      <c r="C53" s="20" t="n">
        <f aca="false">COUNTIF('1 Training Data'!$C$3:$C$419,A53)</f>
        <v>8</v>
      </c>
      <c r="D53" s="17" t="n">
        <f aca="false">B53/AVERAGE($B$3:$B$54)</f>
        <v>1.02197331378228</v>
      </c>
    </row>
    <row r="54" customFormat="false" ht="15" hidden="false" customHeight="false" outlineLevel="0" collapsed="false">
      <c r="A54" s="14" t="n">
        <v>52</v>
      </c>
      <c r="B54" s="18" t="n">
        <f aca="false">AVERAGEIF('1 Training Data'!$C$3:$C$419,A54,'1 Training Data'!$H$3:$H$419)</f>
        <v>0.941189899152946</v>
      </c>
      <c r="C54" s="20" t="n">
        <f aca="false">COUNTIF('1 Training Data'!$C$3:$C$419,A54)</f>
        <v>9</v>
      </c>
      <c r="D54" s="17" t="n">
        <f aca="false">B54/AVERAGE($B$3:$B$54)</f>
        <v>0.941059701689701</v>
      </c>
    </row>
    <row r="56" customFormat="false" ht="15" hidden="false" customHeight="false" outlineLevel="0" collapsed="false">
      <c r="A56" s="21" t="s">
        <v>47</v>
      </c>
      <c r="D56" s="17" t="n">
        <f aca="false">AVERAGE(D3:D54)</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14"/>
    <col collapsed="false" customWidth="true" hidden="false" outlineLevel="0" max="4" min="4" style="0" width="9"/>
    <col collapsed="false" customWidth="true" hidden="false" outlineLevel="0" max="5" min="5" style="0" width="13"/>
    <col collapsed="false" customWidth="true" hidden="false" outlineLevel="0" max="6" min="6" style="0" width="18"/>
    <col collapsed="false" customWidth="true" hidden="false" outlineLevel="0" max="7" min="7" style="0" width="10"/>
  </cols>
  <sheetData>
    <row r="1" customFormat="false" ht="15" hidden="false" customHeight="false" outlineLevel="0" collapsed="false">
      <c r="A1" s="7" t="s">
        <v>48</v>
      </c>
    </row>
    <row r="2" customFormat="false" ht="15" hidden="false" customHeight="false" outlineLevel="0" collapsed="false">
      <c r="A2" s="8" t="s">
        <v>49</v>
      </c>
    </row>
    <row r="4" customFormat="false" ht="45" hidden="false" customHeight="true" outlineLevel="0" collapsed="false">
      <c r="A4" s="9" t="s">
        <v>50</v>
      </c>
      <c r="B4" s="9" t="s">
        <v>51</v>
      </c>
      <c r="C4" s="9" t="s">
        <v>52</v>
      </c>
      <c r="D4" s="9" t="s">
        <v>53</v>
      </c>
      <c r="E4" s="9" t="s">
        <v>54</v>
      </c>
      <c r="F4" s="9" t="s">
        <v>55</v>
      </c>
      <c r="G4" s="9" t="s">
        <v>56</v>
      </c>
    </row>
    <row r="5" customFormat="false" ht="15" hidden="false" customHeight="false" outlineLevel="0" collapsed="false">
      <c r="A5" s="14" t="s">
        <v>57</v>
      </c>
      <c r="B5" s="22" t="n">
        <f aca="false">INDEX(LINEST('1 Training Data'!$J$3:$J$419,'1 Training Data'!$O$3:$Q$419,TRUE(),TRUE()),1,4)</f>
        <v>11567.4582550294</v>
      </c>
      <c r="C5" s="22" t="n">
        <f aca="false">INDEX(LINEST('1 Training Data'!$J$3:$J$419,'1 Training Data'!$O$3:$Q$419,TRUE(),TRUE()),2,4)</f>
        <v>387.975519800342</v>
      </c>
      <c r="D5" s="23" t="n">
        <f aca="false">B5/C5</f>
        <v>29.8149178612666</v>
      </c>
      <c r="E5" s="14" t="str">
        <f aca="false">IF(ABS(D5)&gt;2,"Yes","No")</f>
        <v>Yes</v>
      </c>
      <c r="F5" s="14" t="s">
        <v>58</v>
      </c>
      <c r="G5" s="14" t="s">
        <v>58</v>
      </c>
    </row>
    <row r="6" customFormat="false" ht="15" hidden="false" customHeight="false" outlineLevel="0" collapsed="false">
      <c r="A6" s="14" t="s">
        <v>59</v>
      </c>
      <c r="B6" s="22" t="n">
        <f aca="false">INDEX(LINEST('1 Training Data'!$J$3:$J$419,'1 Training Data'!$O$3:$Q$419,TRUE(),TRUE()),1,3)</f>
        <v>-1.56231321793452</v>
      </c>
      <c r="C6" s="22" t="n">
        <f aca="false">INDEX(LINEST('1 Training Data'!$J$3:$J$419,'1 Training Data'!$O$3:$Q$419,TRUE(),TRUE()),2,3)</f>
        <v>0.11977237493916</v>
      </c>
      <c r="D6" s="23" t="n">
        <f aca="false">B6/C6</f>
        <v>-13.0440196975982</v>
      </c>
      <c r="E6" s="14" t="str">
        <f aca="false">IF(ABS(D6)&gt;2,"Yes","No")</f>
        <v>Yes</v>
      </c>
      <c r="F6" s="14" t="s">
        <v>58</v>
      </c>
      <c r="G6" s="14" t="s">
        <v>58</v>
      </c>
    </row>
    <row r="7" customFormat="false" ht="15" hidden="false" customHeight="false" outlineLevel="0" collapsed="false">
      <c r="A7" s="14" t="s">
        <v>60</v>
      </c>
      <c r="B7" s="24" t="n">
        <f aca="false">INDEX(LINEST('1 Training Data'!$J$3:$J$419,'1 Training Data'!$O$3:$Q$419,TRUE(),TRUE()),1,2)</f>
        <v>0.00182467112221903</v>
      </c>
      <c r="C7" s="24" t="n">
        <f aca="false">INDEX(LINEST('1 Training Data'!$J$3:$J$419,'1 Training Data'!$O$3:$Q$419,TRUE(),TRUE()),2,2)</f>
        <v>0.000834780541492433</v>
      </c>
      <c r="D7" s="23" t="n">
        <f aca="false">B7/C7</f>
        <v>2.18580936129255</v>
      </c>
      <c r="E7" s="14" t="str">
        <f aca="false">IF(ABS(D7)&gt;2,"Yes","No")</f>
        <v>Yes</v>
      </c>
      <c r="F7" s="14" t="s">
        <v>61</v>
      </c>
      <c r="G7" s="14" t="str">
        <f aca="false">IF(B7&gt;0,"Yes","No")</f>
        <v>Yes</v>
      </c>
    </row>
    <row r="8" customFormat="false" ht="15" hidden="false" customHeight="false" outlineLevel="0" collapsed="false">
      <c r="A8" s="14" t="s">
        <v>62</v>
      </c>
      <c r="B8" s="24" t="n">
        <f aca="false">INDEX(LINEST('1 Training Data'!$J$3:$J$419,'1 Training Data'!$O$3:$Q$419,TRUE(),TRUE()),1,1)</f>
        <v>-0.00265504137675719</v>
      </c>
      <c r="C8" s="24" t="n">
        <f aca="false">INDEX(LINEST('1 Training Data'!$J$3:$J$419,'1 Training Data'!$O$3:$Q$419,TRUE(),TRUE()),2,1)</f>
        <v>0.00076947483547252</v>
      </c>
      <c r="D8" s="23" t="n">
        <f aca="false">B8/C8</f>
        <v>-3.45045900705353</v>
      </c>
      <c r="E8" s="14" t="str">
        <f aca="false">IF(ABS(D8)&gt;2,"Yes","No")</f>
        <v>Yes</v>
      </c>
      <c r="F8" s="14" t="s">
        <v>63</v>
      </c>
      <c r="G8" s="14" t="str">
        <f aca="false">IF(B8&lt;0,"Yes","No")</f>
        <v>Yes</v>
      </c>
    </row>
    <row r="11" customFormat="false" ht="15" hidden="false" customHeight="false" outlineLevel="0" collapsed="false">
      <c r="A11" s="21" t="s">
        <v>64</v>
      </c>
      <c r="B11" s="25" t="n">
        <f aca="false">INDEX(LINEST('1 Training Data'!$J$3:$J$419,'1 Training Data'!$O$3:$Q$419,TRUE(),TRUE()),3,1)</f>
        <v>0.34550583904874</v>
      </c>
    </row>
    <row r="12" customFormat="false" ht="15" hidden="false" customHeight="false" outlineLevel="0" collapsed="false">
      <c r="A12" s="21" t="s">
        <v>65</v>
      </c>
      <c r="B12" s="16" t="n">
        <f aca="false">INDEX(LINEST('1 Training Data'!$J$3:$J$419,'1 Training Data'!$O$3:$Q$419,TRUE(),TRUE()),3,2)</f>
        <v>294.351459094595</v>
      </c>
    </row>
    <row r="13" customFormat="false" ht="15" hidden="false" customHeight="false" outlineLevel="0" collapsed="false">
      <c r="A13" s="21" t="s">
        <v>66</v>
      </c>
      <c r="B13" s="14" t="n">
        <f aca="false">COUNT('1 Training Data'!$J$3:$J$419)</f>
        <v>417</v>
      </c>
    </row>
    <row r="15" customFormat="false" ht="15" hidden="false" customHeight="false" outlineLevel="0" collapsed="false">
      <c r="A15" s="10" t="s">
        <v>67</v>
      </c>
    </row>
    <row r="16" customFormat="false" ht="15" hidden="false" customHeight="false" outlineLevel="0" collapsed="false">
      <c r="A16" s="14" t="str">
        <f aca="false">"b2: each extra 10 billion vehicle miles in a month adds about "&amp;TEXT(B7*10000,"0.0")&amp;" units of weekly demand (before seasonality)."</f>
        <v>b2: each extra 10 billion vehicle miles in a month adds about 18.2 units of weekly demand (before seasonality).</v>
      </c>
    </row>
    <row r="17" customFormat="false" ht="15" hidden="false" customHeight="false" outlineLevel="0" collapsed="false">
      <c r="A17" s="14" t="str">
        <f aca="false">"b3: each extra 10,000 jobless claims lowers weekly demand by about "&amp;TEXT(-B8*10000,"0.0")&amp;" units."</f>
        <v>b3: each extra 10,000 jobless claims lowers weekly demand by about 26.6 units.</v>
      </c>
    </row>
    <row r="18" customFormat="false" ht="15" hidden="false" customHeight="false" outlineLevel="0" collapsed="false">
      <c r="A18" s="14" t="str">
        <f aca="false">"b1: holding the others fixed, demand drifts by "&amp;TEXT(B6,"0.00")&amp;" units per week (a slow decline)."</f>
        <v>b1: holding the others fixed, demand drifts by -1.56 units per week (a slow decline).</v>
      </c>
    </row>
    <row r="20" customFormat="false" ht="15" hidden="false" customHeight="false" outlineLevel="0" collapsed="false">
      <c r="A20" s="8"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8"/>
    <col collapsed="false" customWidth="true" hidden="false" outlineLevel="0" max="5" min="4" style="0" width="11"/>
    <col collapsed="false" customWidth="true" hidden="false" outlineLevel="0" max="6" min="6" style="0" width="18"/>
    <col collapsed="false" customWidth="true" hidden="false" outlineLevel="0" max="7" min="7" style="0" width="10"/>
    <col collapsed="false" customWidth="true" hidden="false" outlineLevel="0" max="8" min="8" style="0" width="13"/>
    <col collapsed="false" customWidth="true" hidden="false" outlineLevel="0" max="9" min="9" style="0" width="10"/>
    <col collapsed="false" customWidth="true" hidden="false" outlineLevel="0" max="10" min="10" style="0" width="12"/>
    <col collapsed="false" customWidth="true" hidden="false" outlineLevel="0" max="11" min="11" style="0" width="10"/>
    <col collapsed="false" customWidth="true" hidden="false" outlineLevel="0" max="12" min="12" style="0" width="2"/>
    <col collapsed="false" customWidth="true" hidden="false" outlineLevel="0" max="13" min="13" style="0" width="24"/>
    <col collapsed="false" customWidth="true" hidden="false" outlineLevel="0" max="14" min="14" style="0" width="10"/>
  </cols>
  <sheetData>
    <row r="1" customFormat="false" ht="15" hidden="false" customHeight="false" outlineLevel="0" collapsed="false">
      <c r="A1" s="7" t="s">
        <v>69</v>
      </c>
    </row>
    <row r="3" customFormat="false" ht="45" hidden="false" customHeight="true" outlineLevel="0" collapsed="false">
      <c r="A3" s="9" t="s">
        <v>24</v>
      </c>
      <c r="B3" s="9" t="s">
        <v>25</v>
      </c>
      <c r="C3" s="9" t="s">
        <v>26</v>
      </c>
      <c r="D3" s="9" t="s">
        <v>70</v>
      </c>
      <c r="E3" s="9" t="s">
        <v>29</v>
      </c>
      <c r="F3" s="9" t="s">
        <v>71</v>
      </c>
      <c r="G3" s="9" t="s">
        <v>72</v>
      </c>
      <c r="H3" s="9" t="s">
        <v>73</v>
      </c>
      <c r="I3" s="9" t="s">
        <v>74</v>
      </c>
      <c r="J3" s="9" t="s">
        <v>75</v>
      </c>
      <c r="K3" s="9" t="s">
        <v>76</v>
      </c>
      <c r="M3" s="11" t="s">
        <v>77</v>
      </c>
      <c r="N3" s="26"/>
    </row>
    <row r="4" customFormat="false" ht="15" hidden="false" customHeight="false" outlineLevel="0" collapsed="false">
      <c r="A4" s="12" t="n">
        <v>45660</v>
      </c>
      <c r="B4" s="13" t="n">
        <v>1770</v>
      </c>
      <c r="C4" s="14" t="n">
        <f aca="false">MIN(52,INT((A4-DATE(YEAR(A4),1,1))/7)+1)</f>
        <v>1</v>
      </c>
      <c r="D4" s="15" t="n">
        <v>289477</v>
      </c>
      <c r="E4" s="15" t="n">
        <v>212000</v>
      </c>
      <c r="F4" s="27" t="n">
        <f aca="false">'3 Regression'!$B$5+'3 Regression'!$B$6*B4+'3 Regression'!$B$7*D4+'3 Regression'!$B$8*E4</f>
        <v>8767.49540985939</v>
      </c>
      <c r="G4" s="18" t="n">
        <f aca="false">INDEX('2 Seasonal Index'!$D$3:$D$54,C4)</f>
        <v>0.914658189121246</v>
      </c>
      <c r="H4" s="28" t="n">
        <f aca="false">F4*G4</f>
        <v>8019.26147471083</v>
      </c>
      <c r="I4" s="15" t="n">
        <v>8481</v>
      </c>
      <c r="J4" s="29" t="n">
        <f aca="false">I4-H4</f>
        <v>461.738525289173</v>
      </c>
      <c r="K4" s="30" t="n">
        <f aca="false">ABS(J4)/I4</f>
        <v>0.0544438775249585</v>
      </c>
      <c r="M4" s="14" t="s">
        <v>78</v>
      </c>
      <c r="N4" s="31" t="n">
        <f aca="false">AVERAGE(K4:K55)</f>
        <v>0.0274679712224995</v>
      </c>
    </row>
    <row r="5" customFormat="false" ht="15" hidden="false" customHeight="false" outlineLevel="0" collapsed="false">
      <c r="A5" s="12" t="n">
        <v>45667</v>
      </c>
      <c r="B5" s="13" t="n">
        <v>1771</v>
      </c>
      <c r="C5" s="14" t="n">
        <f aca="false">MIN(52,INT((A5-DATE(YEAR(A5),1,1))/7)+1)</f>
        <v>2</v>
      </c>
      <c r="D5" s="15" t="n">
        <v>289477</v>
      </c>
      <c r="E5" s="15" t="n">
        <v>206000</v>
      </c>
      <c r="F5" s="27" t="n">
        <f aca="false">'3 Regression'!$B$5+'3 Regression'!$B$6*B5+'3 Regression'!$B$7*D5+'3 Regression'!$B$8*E5</f>
        <v>8781.863344902</v>
      </c>
      <c r="G5" s="18" t="n">
        <f aca="false">INDEX('2 Seasonal Index'!$D$3:$D$54,C5)</f>
        <v>0.921123720796805</v>
      </c>
      <c r="H5" s="28" t="n">
        <f aca="false">F5*G5</f>
        <v>8089.18263978521</v>
      </c>
      <c r="I5" s="15" t="n">
        <v>8325</v>
      </c>
      <c r="J5" s="29" t="n">
        <f aca="false">I5-H5</f>
        <v>235.817360214795</v>
      </c>
      <c r="K5" s="30" t="n">
        <f aca="false">ABS(J5)/I5</f>
        <v>0.0283264096354109</v>
      </c>
      <c r="M5" s="14" t="s">
        <v>79</v>
      </c>
      <c r="N5" s="32" t="n">
        <v>0.0357</v>
      </c>
    </row>
    <row r="6" customFormat="false" ht="15" hidden="false" customHeight="false" outlineLevel="0" collapsed="false">
      <c r="A6" s="12" t="n">
        <v>45674</v>
      </c>
      <c r="B6" s="13" t="n">
        <v>1772</v>
      </c>
      <c r="C6" s="14" t="n">
        <f aca="false">MIN(52,INT((A6-DATE(YEAR(A6),1,1))/7)+1)</f>
        <v>3</v>
      </c>
      <c r="D6" s="15" t="n">
        <v>262354</v>
      </c>
      <c r="E6" s="15" t="n">
        <v>219000</v>
      </c>
      <c r="F6" s="27" t="n">
        <f aca="false">'3 Regression'!$B$5+'3 Regression'!$B$6*B6+'3 Regression'!$B$7*D6+'3 Regression'!$B$8*E6</f>
        <v>8696.29493893828</v>
      </c>
      <c r="G6" s="18" t="n">
        <f aca="false">INDEX('2 Seasonal Index'!$D$3:$D$54,C6)</f>
        <v>0.932475709892495</v>
      </c>
      <c r="H6" s="28" t="n">
        <f aca="false">F6*G6</f>
        <v>8109.08379662098</v>
      </c>
      <c r="I6" s="15" t="n">
        <v>8086</v>
      </c>
      <c r="J6" s="29" t="n">
        <f aca="false">I6-H6</f>
        <v>-23.0837966209774</v>
      </c>
      <c r="K6" s="30" t="n">
        <f aca="false">ABS(J6)/I6</f>
        <v>0.00285478563207734</v>
      </c>
      <c r="M6" s="14" t="s">
        <v>80</v>
      </c>
      <c r="N6" s="29" t="n">
        <f aca="false">AVERAGE(J4:J55)</f>
        <v>101.676091859477</v>
      </c>
    </row>
    <row r="7" customFormat="false" ht="15" hidden="false" customHeight="false" outlineLevel="0" collapsed="false">
      <c r="A7" s="12" t="n">
        <v>45681</v>
      </c>
      <c r="B7" s="13" t="n">
        <v>1773</v>
      </c>
      <c r="C7" s="14" t="n">
        <f aca="false">MIN(52,INT((A7-DATE(YEAR(A7),1,1))/7)+1)</f>
        <v>4</v>
      </c>
      <c r="D7" s="15" t="n">
        <v>262354</v>
      </c>
      <c r="E7" s="15" t="n">
        <v>223000</v>
      </c>
      <c r="F7" s="27" t="n">
        <f aca="false">'3 Regression'!$B$5+'3 Regression'!$B$6*B7+'3 Regression'!$B$7*D7+'3 Regression'!$B$8*E7</f>
        <v>8684.11246021331</v>
      </c>
      <c r="G7" s="18" t="n">
        <f aca="false">INDEX('2 Seasonal Index'!$D$3:$D$54,C7)</f>
        <v>0.95567024426302</v>
      </c>
      <c r="H7" s="28" t="n">
        <f aca="false">F7*G7</f>
        <v>8299.14787605959</v>
      </c>
      <c r="I7" s="15" t="n">
        <v>8302</v>
      </c>
      <c r="J7" s="29" t="n">
        <f aca="false">I7-H7</f>
        <v>2.85212394041082</v>
      </c>
      <c r="K7" s="30" t="n">
        <f aca="false">ABS(J7)/I7</f>
        <v>0.000343546608095738</v>
      </c>
    </row>
    <row r="8" customFormat="false" ht="15" hidden="false" customHeight="false" outlineLevel="0" collapsed="false">
      <c r="A8" s="12" t="n">
        <v>45688</v>
      </c>
      <c r="B8" s="13" t="n">
        <v>1774</v>
      </c>
      <c r="C8" s="14" t="n">
        <f aca="false">MIN(52,INT((A8-DATE(YEAR(A8),1,1))/7)+1)</f>
        <v>5</v>
      </c>
      <c r="D8" s="15" t="n">
        <v>262354</v>
      </c>
      <c r="E8" s="15" t="n">
        <v>212000</v>
      </c>
      <c r="F8" s="27" t="n">
        <f aca="false">'3 Regression'!$B$5+'3 Regression'!$B$6*B8+'3 Regression'!$B$7*D8+'3 Regression'!$B$8*E8</f>
        <v>8711.75560213971</v>
      </c>
      <c r="G8" s="18" t="n">
        <f aca="false">INDEX('2 Seasonal Index'!$D$3:$D$54,C8)</f>
        <v>0.963785211095498</v>
      </c>
      <c r="H8" s="28" t="n">
        <f aca="false">F8*G8</f>
        <v>8396.26121202061</v>
      </c>
      <c r="I8" s="15" t="n">
        <v>8328</v>
      </c>
      <c r="J8" s="29" t="n">
        <f aca="false">I8-H8</f>
        <v>-68.2612120206049</v>
      </c>
      <c r="K8" s="30" t="n">
        <f aca="false">ABS(J8)/I8</f>
        <v>0.00819659126087956</v>
      </c>
      <c r="M8" s="8" t="s">
        <v>81</v>
      </c>
    </row>
    <row r="9" customFormat="false" ht="15" hidden="false" customHeight="false" outlineLevel="0" collapsed="false">
      <c r="A9" s="12" t="n">
        <v>45695</v>
      </c>
      <c r="B9" s="13" t="n">
        <v>1775</v>
      </c>
      <c r="C9" s="14" t="n">
        <f aca="false">MIN(52,INT((A9-DATE(YEAR(A9),1,1))/7)+1)</f>
        <v>6</v>
      </c>
      <c r="D9" s="15" t="n">
        <v>262354</v>
      </c>
      <c r="E9" s="15" t="n">
        <v>220000</v>
      </c>
      <c r="F9" s="27" t="n">
        <f aca="false">'3 Regression'!$B$5+'3 Regression'!$B$6*B9+'3 Regression'!$B$7*D9+'3 Regression'!$B$8*E9</f>
        <v>8688.95295790772</v>
      </c>
      <c r="G9" s="18" t="n">
        <f aca="false">INDEX('2 Seasonal Index'!$D$3:$D$54,C9)</f>
        <v>0.93990301851115</v>
      </c>
      <c r="H9" s="28" t="n">
        <f aca="false">F9*G9</f>
        <v>8166.77311283885</v>
      </c>
      <c r="I9" s="15" t="n">
        <v>8576</v>
      </c>
      <c r="J9" s="29" t="n">
        <f aca="false">I9-H9</f>
        <v>409.226887161155</v>
      </c>
      <c r="K9" s="30" t="n">
        <f aca="false">ABS(J9)/I9</f>
        <v>0.0477176874021869</v>
      </c>
      <c r="M9" s="8" t="s">
        <v>82</v>
      </c>
    </row>
    <row r="10" customFormat="false" ht="15" hidden="false" customHeight="false" outlineLevel="0" collapsed="false">
      <c r="A10" s="12" t="n">
        <v>45702</v>
      </c>
      <c r="B10" s="13" t="n">
        <v>1776</v>
      </c>
      <c r="C10" s="14" t="n">
        <f aca="false">MIN(52,INT((A10-DATE(YEAR(A10),1,1))/7)+1)</f>
        <v>7</v>
      </c>
      <c r="D10" s="15" t="n">
        <v>262354</v>
      </c>
      <c r="E10" s="15" t="n">
        <v>216000</v>
      </c>
      <c r="F10" s="27" t="n">
        <f aca="false">'3 Regression'!$B$5+'3 Regression'!$B$6*B10+'3 Regression'!$B$7*D10+'3 Regression'!$B$8*E10</f>
        <v>8698.01081019681</v>
      </c>
      <c r="G10" s="18" t="n">
        <f aca="false">INDEX('2 Seasonal Index'!$D$3:$D$54,C10)</f>
        <v>0.963162093989007</v>
      </c>
      <c r="H10" s="28" t="n">
        <f aca="false">F10*G10</f>
        <v>8377.59430548818</v>
      </c>
      <c r="I10" s="15" t="n">
        <v>8239</v>
      </c>
      <c r="J10" s="29" t="n">
        <f aca="false">I10-H10</f>
        <v>-138.594305488177</v>
      </c>
      <c r="K10" s="30" t="n">
        <f aca="false">ABS(J10)/I10</f>
        <v>0.0168217387411309</v>
      </c>
    </row>
    <row r="11" customFormat="false" ht="15" hidden="false" customHeight="false" outlineLevel="0" collapsed="false">
      <c r="A11" s="12" t="n">
        <v>45709</v>
      </c>
      <c r="B11" s="13" t="n">
        <v>1777</v>
      </c>
      <c r="C11" s="14" t="n">
        <f aca="false">MIN(52,INT((A11-DATE(YEAR(A11),1,1))/7)+1)</f>
        <v>8</v>
      </c>
      <c r="D11" s="15" t="n">
        <v>264216</v>
      </c>
      <c r="E11" s="15" t="n">
        <v>223000</v>
      </c>
      <c r="F11" s="27" t="n">
        <f aca="false">'3 Regression'!$B$5+'3 Regression'!$B$6*B11+'3 Regression'!$B$7*D11+'3 Regression'!$B$8*E11</f>
        <v>8681.26074497115</v>
      </c>
      <c r="G11" s="18" t="n">
        <f aca="false">INDEX('2 Seasonal Index'!$D$3:$D$54,C11)</f>
        <v>0.978387056473038</v>
      </c>
      <c r="H11" s="28" t="n">
        <f aca="false">F11*G11</f>
        <v>8493.63314674725</v>
      </c>
      <c r="I11" s="15" t="n">
        <v>8454</v>
      </c>
      <c r="J11" s="29" t="n">
        <f aca="false">I11-H11</f>
        <v>-39.6331467472537</v>
      </c>
      <c r="K11" s="30" t="n">
        <f aca="false">ABS(J11)/I11</f>
        <v>0.0046880940084284</v>
      </c>
    </row>
    <row r="12" customFormat="false" ht="15" hidden="false" customHeight="false" outlineLevel="0" collapsed="false">
      <c r="A12" s="12" t="n">
        <v>45716</v>
      </c>
      <c r="B12" s="13" t="n">
        <v>1778</v>
      </c>
      <c r="C12" s="14" t="n">
        <f aca="false">MIN(52,INT((A12-DATE(YEAR(A12),1,1))/7)+1)</f>
        <v>9</v>
      </c>
      <c r="D12" s="15" t="n">
        <v>264216</v>
      </c>
      <c r="E12" s="15" t="n">
        <v>241000</v>
      </c>
      <c r="F12" s="27" t="n">
        <f aca="false">'3 Regression'!$B$5+'3 Regression'!$B$6*B12+'3 Regression'!$B$7*D12+'3 Regression'!$B$8*E12</f>
        <v>8631.90768697158</v>
      </c>
      <c r="G12" s="18" t="n">
        <f aca="false">INDEX('2 Seasonal Index'!$D$3:$D$54,C12)</f>
        <v>0.986293676275175</v>
      </c>
      <c r="H12" s="28" t="n">
        <f aca="false">F12*G12</f>
        <v>8513.59596585115</v>
      </c>
      <c r="I12" s="15" t="n">
        <v>8877</v>
      </c>
      <c r="J12" s="29" t="n">
        <f aca="false">I12-H12</f>
        <v>363.404034148854</v>
      </c>
      <c r="K12" s="30" t="n">
        <f aca="false">ABS(J12)/I12</f>
        <v>0.0409377080262312</v>
      </c>
    </row>
    <row r="13" customFormat="false" ht="15" hidden="false" customHeight="false" outlineLevel="0" collapsed="false">
      <c r="A13" s="12" t="n">
        <v>45723</v>
      </c>
      <c r="B13" s="13" t="n">
        <v>1779</v>
      </c>
      <c r="C13" s="14" t="n">
        <f aca="false">MIN(52,INT((A13-DATE(YEAR(A13),1,1))/7)+1)</f>
        <v>10</v>
      </c>
      <c r="D13" s="15" t="n">
        <v>264216</v>
      </c>
      <c r="E13" s="15" t="n">
        <v>224000</v>
      </c>
      <c r="F13" s="27" t="n">
        <f aca="false">'3 Regression'!$B$5+'3 Regression'!$B$6*B13+'3 Regression'!$B$7*D13+'3 Regression'!$B$8*E13</f>
        <v>8675.48107715852</v>
      </c>
      <c r="G13" s="18" t="n">
        <f aca="false">INDEX('2 Seasonal Index'!$D$3:$D$54,C13)</f>
        <v>0.995274907218877</v>
      </c>
      <c r="H13" s="28" t="n">
        <f aca="false">F13*G13</f>
        <v>8634.48862414807</v>
      </c>
      <c r="I13" s="15" t="n">
        <v>9182</v>
      </c>
      <c r="J13" s="29" t="n">
        <f aca="false">I13-H13</f>
        <v>547.511375851935</v>
      </c>
      <c r="K13" s="30" t="n">
        <f aca="false">ABS(J13)/I13</f>
        <v>0.0596287710577145</v>
      </c>
    </row>
    <row r="14" customFormat="false" ht="15" hidden="false" customHeight="false" outlineLevel="0" collapsed="false">
      <c r="A14" s="12" t="n">
        <v>45730</v>
      </c>
      <c r="B14" s="13" t="n">
        <v>1780</v>
      </c>
      <c r="C14" s="14" t="n">
        <f aca="false">MIN(52,INT((A14-DATE(YEAR(A14),1,1))/7)+1)</f>
        <v>11</v>
      </c>
      <c r="D14" s="15" t="n">
        <v>264216</v>
      </c>
      <c r="E14" s="15" t="n">
        <v>222000</v>
      </c>
      <c r="F14" s="27" t="n">
        <f aca="false">'3 Regression'!$B$5+'3 Regression'!$B$6*B14+'3 Regression'!$B$7*D14+'3 Regression'!$B$8*E14</f>
        <v>8679.2288466941</v>
      </c>
      <c r="G14" s="18" t="n">
        <f aca="false">INDEX('2 Seasonal Index'!$D$3:$D$54,C14)</f>
        <v>1.00212775296089</v>
      </c>
      <c r="H14" s="28" t="n">
        <f aca="false">F14*G14</f>
        <v>8697.69610157093</v>
      </c>
      <c r="I14" s="15" t="n">
        <v>8817</v>
      </c>
      <c r="J14" s="29" t="n">
        <f aca="false">I14-H14</f>
        <v>119.303898429067</v>
      </c>
      <c r="K14" s="30" t="n">
        <f aca="false">ABS(J14)/I14</f>
        <v>0.0135311215185513</v>
      </c>
    </row>
    <row r="15" customFormat="false" ht="15" hidden="false" customHeight="false" outlineLevel="0" collapsed="false">
      <c r="A15" s="12" t="n">
        <v>45737</v>
      </c>
      <c r="B15" s="13" t="n">
        <v>1781</v>
      </c>
      <c r="C15" s="14" t="n">
        <f aca="false">MIN(52,INT((A15-DATE(YEAR(A15),1,1))/7)+1)</f>
        <v>12</v>
      </c>
      <c r="D15" s="15" t="n">
        <v>252454</v>
      </c>
      <c r="E15" s="15" t="n">
        <v>225000</v>
      </c>
      <c r="F15" s="27" t="n">
        <f aca="false">'3 Regression'!$B$5+'3 Regression'!$B$6*B15+'3 Regression'!$B$7*D15+'3 Regression'!$B$8*E15</f>
        <v>8648.23962760635</v>
      </c>
      <c r="G15" s="18" t="n">
        <f aca="false">INDEX('2 Seasonal Index'!$D$3:$D$54,C15)</f>
        <v>0.99255102448152</v>
      </c>
      <c r="H15" s="28" t="n">
        <f aca="false">F15*G15</f>
        <v>8583.81910234237</v>
      </c>
      <c r="I15" s="15" t="n">
        <v>8643</v>
      </c>
      <c r="J15" s="29" t="n">
        <f aca="false">I15-H15</f>
        <v>59.1808976576322</v>
      </c>
      <c r="K15" s="30" t="n">
        <f aca="false">ABS(J15)/I15</f>
        <v>0.00684726341057875</v>
      </c>
    </row>
    <row r="16" customFormat="false" ht="15" hidden="false" customHeight="false" outlineLevel="0" collapsed="false">
      <c r="A16" s="12" t="n">
        <v>45744</v>
      </c>
      <c r="B16" s="13" t="n">
        <v>1782</v>
      </c>
      <c r="C16" s="14" t="n">
        <f aca="false">MIN(52,INT((A16-DATE(YEAR(A16),1,1))/7)+1)</f>
        <v>13</v>
      </c>
      <c r="D16" s="15" t="n">
        <v>252454</v>
      </c>
      <c r="E16" s="15" t="n">
        <v>224000</v>
      </c>
      <c r="F16" s="27" t="n">
        <f aca="false">'3 Regression'!$B$5+'3 Regression'!$B$6*B16+'3 Regression'!$B$7*D16+'3 Regression'!$B$8*E16</f>
        <v>8649.33235576518</v>
      </c>
      <c r="G16" s="18" t="n">
        <f aca="false">INDEX('2 Seasonal Index'!$D$3:$D$54,C16)</f>
        <v>1.00671990755393</v>
      </c>
      <c r="H16" s="28" t="n">
        <f aca="false">F16*G16</f>
        <v>8707.45506959917</v>
      </c>
      <c r="I16" s="15" t="n">
        <v>8495</v>
      </c>
      <c r="J16" s="29" t="n">
        <f aca="false">I16-H16</f>
        <v>-212.455069599169</v>
      </c>
      <c r="K16" s="30" t="n">
        <f aca="false">ABS(J16)/I16</f>
        <v>0.0250094254972536</v>
      </c>
    </row>
    <row r="17" customFormat="false" ht="15" hidden="false" customHeight="false" outlineLevel="0" collapsed="false">
      <c r="A17" s="12" t="n">
        <v>45751</v>
      </c>
      <c r="B17" s="13" t="n">
        <v>1783</v>
      </c>
      <c r="C17" s="14" t="n">
        <f aca="false">MIN(52,INT((A17-DATE(YEAR(A17),1,1))/7)+1)</f>
        <v>14</v>
      </c>
      <c r="D17" s="15" t="n">
        <v>252454</v>
      </c>
      <c r="E17" s="15" t="n">
        <v>220000</v>
      </c>
      <c r="F17" s="27" t="n">
        <f aca="false">'3 Regression'!$B$5+'3 Regression'!$B$6*B17+'3 Regression'!$B$7*D17+'3 Regression'!$B$8*E17</f>
        <v>8658.39020805427</v>
      </c>
      <c r="G17" s="18" t="n">
        <f aca="false">INDEX('2 Seasonal Index'!$D$3:$D$54,C17)</f>
        <v>0.994713065050192</v>
      </c>
      <c r="H17" s="28" t="n">
        <f aca="false">F17*G17</f>
        <v>8612.61386225424</v>
      </c>
      <c r="I17" s="15" t="n">
        <v>8425</v>
      </c>
      <c r="J17" s="29" t="n">
        <f aca="false">I17-H17</f>
        <v>-187.613862254235</v>
      </c>
      <c r="K17" s="30" t="n">
        <f aca="false">ABS(J17)/I17</f>
        <v>0.0222687076859626</v>
      </c>
    </row>
    <row r="18" customFormat="false" ht="15" hidden="false" customHeight="false" outlineLevel="0" collapsed="false">
      <c r="A18" s="12" t="n">
        <v>45758</v>
      </c>
      <c r="B18" s="13" t="n">
        <v>1784</v>
      </c>
      <c r="C18" s="14" t="n">
        <f aca="false">MIN(52,INT((A18-DATE(YEAR(A18),1,1))/7)+1)</f>
        <v>15</v>
      </c>
      <c r="D18" s="15" t="n">
        <v>252454</v>
      </c>
      <c r="E18" s="15" t="n">
        <v>223000</v>
      </c>
      <c r="F18" s="27" t="n">
        <f aca="false">'3 Regression'!$B$5+'3 Regression'!$B$6*B18+'3 Regression'!$B$7*D18+'3 Regression'!$B$8*E18</f>
        <v>8648.86277070606</v>
      </c>
      <c r="G18" s="18" t="n">
        <f aca="false">INDEX('2 Seasonal Index'!$D$3:$D$54,C18)</f>
        <v>1.00303091571571</v>
      </c>
      <c r="H18" s="28" t="n">
        <f aca="false">F18*G18</f>
        <v>8675.07674480083</v>
      </c>
      <c r="I18" s="15" t="n">
        <v>8462</v>
      </c>
      <c r="J18" s="29" t="n">
        <f aca="false">I18-H18</f>
        <v>-213.07674480083</v>
      </c>
      <c r="K18" s="30" t="n">
        <f aca="false">ABS(J18)/I18</f>
        <v>0.0251804236351725</v>
      </c>
    </row>
    <row r="19" customFormat="false" ht="15" hidden="false" customHeight="false" outlineLevel="0" collapsed="false">
      <c r="A19" s="12" t="n">
        <v>45765</v>
      </c>
      <c r="B19" s="13" t="n">
        <v>1785</v>
      </c>
      <c r="C19" s="14" t="n">
        <f aca="false">MIN(52,INT((A19-DATE(YEAR(A19),1,1))/7)+1)</f>
        <v>16</v>
      </c>
      <c r="D19" s="15" t="n">
        <v>238728</v>
      </c>
      <c r="E19" s="15" t="n">
        <v>217000</v>
      </c>
      <c r="F19" s="27" t="n">
        <f aca="false">'3 Regression'!$B$5+'3 Regression'!$B$6*B19+'3 Regression'!$B$7*D19+'3 Regression'!$B$8*E19</f>
        <v>8638.1852699251</v>
      </c>
      <c r="G19" s="18" t="n">
        <f aca="false">INDEX('2 Seasonal Index'!$D$3:$D$54,C19)</f>
        <v>1.00209740802543</v>
      </c>
      <c r="H19" s="28" t="n">
        <f aca="false">F19*G19</f>
        <v>8656.30306903536</v>
      </c>
      <c r="I19" s="15" t="n">
        <v>9414</v>
      </c>
      <c r="J19" s="29" t="n">
        <f aca="false">I19-H19</f>
        <v>757.696930964641</v>
      </c>
      <c r="K19" s="30" t="n">
        <f aca="false">ABS(J19)/I19</f>
        <v>0.0804861834464246</v>
      </c>
    </row>
    <row r="20" customFormat="false" ht="15" hidden="false" customHeight="false" outlineLevel="0" collapsed="false">
      <c r="A20" s="12" t="n">
        <v>45772</v>
      </c>
      <c r="B20" s="13" t="n">
        <v>1786</v>
      </c>
      <c r="C20" s="14" t="n">
        <f aca="false">MIN(52,INT((A20-DATE(YEAR(A20),1,1))/7)+1)</f>
        <v>17</v>
      </c>
      <c r="D20" s="15" t="n">
        <v>238728</v>
      </c>
      <c r="E20" s="15" t="n">
        <v>224000</v>
      </c>
      <c r="F20" s="27" t="n">
        <f aca="false">'3 Regression'!$B$5+'3 Regression'!$B$6*B20+'3 Regression'!$B$7*D20+'3 Regression'!$B$8*E20</f>
        <v>8618.03766706986</v>
      </c>
      <c r="G20" s="18" t="n">
        <f aca="false">INDEX('2 Seasonal Index'!$D$3:$D$54,C20)</f>
        <v>0.985720009085136</v>
      </c>
      <c r="H20" s="28" t="n">
        <f aca="false">F20*G20</f>
        <v>8494.97216748015</v>
      </c>
      <c r="I20" s="15" t="n">
        <v>9098</v>
      </c>
      <c r="J20" s="29" t="n">
        <f aca="false">I20-H20</f>
        <v>603.027832519851</v>
      </c>
      <c r="K20" s="30" t="n">
        <f aca="false">ABS(J20)/I20</f>
        <v>0.0662813621147341</v>
      </c>
    </row>
    <row r="21" customFormat="false" ht="15" hidden="false" customHeight="false" outlineLevel="0" collapsed="false">
      <c r="A21" s="12" t="n">
        <v>45779</v>
      </c>
      <c r="B21" s="13" t="n">
        <v>1787</v>
      </c>
      <c r="C21" s="14" t="n">
        <f aca="false">MIN(52,INT((A21-DATE(YEAR(A21),1,1))/7)+1)</f>
        <v>18</v>
      </c>
      <c r="D21" s="15" t="n">
        <v>238728</v>
      </c>
      <c r="E21" s="15" t="n">
        <v>239000</v>
      </c>
      <c r="F21" s="27" t="n">
        <f aca="false">'3 Regression'!$B$5+'3 Regression'!$B$6*B21+'3 Regression'!$B$7*D21+'3 Regression'!$B$8*E21</f>
        <v>8576.64973320057</v>
      </c>
      <c r="G21" s="18" t="n">
        <f aca="false">INDEX('2 Seasonal Index'!$D$3:$D$54,C21)</f>
        <v>1.01814015000929</v>
      </c>
      <c r="H21" s="28" t="n">
        <f aca="false">F21*G21</f>
        <v>8732.231445938</v>
      </c>
      <c r="I21" s="15" t="n">
        <v>8717</v>
      </c>
      <c r="J21" s="29" t="n">
        <f aca="false">I21-H21</f>
        <v>-15.2314459379995</v>
      </c>
      <c r="K21" s="30" t="n">
        <f aca="false">ABS(J21)/I21</f>
        <v>0.00174732659607658</v>
      </c>
    </row>
    <row r="22" customFormat="false" ht="15" hidden="false" customHeight="false" outlineLevel="0" collapsed="false">
      <c r="A22" s="12" t="n">
        <v>45786</v>
      </c>
      <c r="B22" s="13" t="n">
        <v>1788</v>
      </c>
      <c r="C22" s="14" t="n">
        <f aca="false">MIN(52,INT((A22-DATE(YEAR(A22),1,1))/7)+1)</f>
        <v>19</v>
      </c>
      <c r="D22" s="15" t="n">
        <v>238728</v>
      </c>
      <c r="E22" s="15" t="n">
        <v>228000</v>
      </c>
      <c r="F22" s="27" t="n">
        <f aca="false">'3 Regression'!$B$5+'3 Regression'!$B$6*B22+'3 Regression'!$B$7*D22+'3 Regression'!$B$8*E22</f>
        <v>8604.29287512696</v>
      </c>
      <c r="G22" s="18" t="n">
        <f aca="false">INDEX('2 Seasonal Index'!$D$3:$D$54,C22)</f>
        <v>1.01337123918897</v>
      </c>
      <c r="H22" s="28" t="n">
        <f aca="false">F22*G22</f>
        <v>8719.34293321221</v>
      </c>
      <c r="I22" s="15" t="n">
        <v>8794</v>
      </c>
      <c r="J22" s="29" t="n">
        <f aca="false">I22-H22</f>
        <v>74.6570667877932</v>
      </c>
      <c r="K22" s="30" t="n">
        <f aca="false">ABS(J22)/I22</f>
        <v>0.00848954591628305</v>
      </c>
    </row>
    <row r="23" customFormat="false" ht="15" hidden="false" customHeight="false" outlineLevel="0" collapsed="false">
      <c r="A23" s="12" t="n">
        <v>45793</v>
      </c>
      <c r="B23" s="13" t="n">
        <v>1789</v>
      </c>
      <c r="C23" s="14" t="n">
        <f aca="false">MIN(52,INT((A23-DATE(YEAR(A23),1,1))/7)+1)</f>
        <v>20</v>
      </c>
      <c r="D23" s="15" t="n">
        <v>278787</v>
      </c>
      <c r="E23" s="15" t="n">
        <v>226000</v>
      </c>
      <c r="F23" s="27" t="n">
        <f aca="false">'3 Regression'!$B$5+'3 Regression'!$B$6*B23+'3 Regression'!$B$7*D23+'3 Regression'!$B$8*E23</f>
        <v>8681.13514514752</v>
      </c>
      <c r="G23" s="18" t="n">
        <f aca="false">INDEX('2 Seasonal Index'!$D$3:$D$54,C23)</f>
        <v>1.03551191118317</v>
      </c>
      <c r="H23" s="28" t="n">
        <f aca="false">F23*G23</f>
        <v>8989.41884539107</v>
      </c>
      <c r="I23" s="15" t="n">
        <v>8644</v>
      </c>
      <c r="J23" s="29" t="n">
        <f aca="false">I23-H23</f>
        <v>-345.418845391068</v>
      </c>
      <c r="K23" s="30" t="n">
        <f aca="false">ABS(J23)/I23</f>
        <v>0.0399605327847141</v>
      </c>
    </row>
    <row r="24" customFormat="false" ht="15" hidden="false" customHeight="false" outlineLevel="0" collapsed="false">
      <c r="A24" s="12" t="n">
        <v>45800</v>
      </c>
      <c r="B24" s="13" t="n">
        <v>1790</v>
      </c>
      <c r="C24" s="14" t="n">
        <f aca="false">MIN(52,INT((A24-DATE(YEAR(A24),1,1))/7)+1)</f>
        <v>21</v>
      </c>
      <c r="D24" s="15" t="n">
        <v>278787</v>
      </c>
      <c r="E24" s="15" t="n">
        <v>225000</v>
      </c>
      <c r="F24" s="27" t="n">
        <f aca="false">'3 Regression'!$B$5+'3 Regression'!$B$6*B24+'3 Regression'!$B$7*D24+'3 Regression'!$B$8*E24</f>
        <v>8682.22787330634</v>
      </c>
      <c r="G24" s="18" t="n">
        <f aca="false">INDEX('2 Seasonal Index'!$D$3:$D$54,C24)</f>
        <v>1.0352245807811</v>
      </c>
      <c r="H24" s="28" t="n">
        <f aca="false">F24*G24</f>
        <v>8988.05571038954</v>
      </c>
      <c r="I24" s="15" t="n">
        <v>9452</v>
      </c>
      <c r="J24" s="29" t="n">
        <f aca="false">I24-H24</f>
        <v>463.944289610465</v>
      </c>
      <c r="K24" s="30" t="n">
        <f aca="false">ABS(J24)/I24</f>
        <v>0.0490842456210818</v>
      </c>
    </row>
    <row r="25" customFormat="false" ht="15" hidden="false" customHeight="false" outlineLevel="0" collapsed="false">
      <c r="A25" s="12" t="n">
        <v>45807</v>
      </c>
      <c r="B25" s="13" t="n">
        <v>1791</v>
      </c>
      <c r="C25" s="14" t="n">
        <f aca="false">MIN(52,INT((A25-DATE(YEAR(A25),1,1))/7)+1)</f>
        <v>22</v>
      </c>
      <c r="D25" s="15" t="n">
        <v>278787</v>
      </c>
      <c r="E25" s="15" t="n">
        <v>236000</v>
      </c>
      <c r="F25" s="27" t="n">
        <f aca="false">'3 Regression'!$B$5+'3 Regression'!$B$6*B25+'3 Regression'!$B$7*D25+'3 Regression'!$B$8*E25</f>
        <v>8651.46010494408</v>
      </c>
      <c r="G25" s="18" t="n">
        <f aca="false">INDEX('2 Seasonal Index'!$D$3:$D$54,C25)</f>
        <v>1.01397917017061</v>
      </c>
      <c r="H25" s="28" t="n">
        <f aca="false">F25*G25</f>
        <v>8772.40033797534</v>
      </c>
      <c r="I25" s="15" t="n">
        <v>8263</v>
      </c>
      <c r="J25" s="29" t="n">
        <f aca="false">I25-H25</f>
        <v>-509.400337975343</v>
      </c>
      <c r="K25" s="30" t="n">
        <f aca="false">ABS(J25)/I25</f>
        <v>0.0616483526534362</v>
      </c>
    </row>
    <row r="26" customFormat="false" ht="15" hidden="false" customHeight="false" outlineLevel="0" collapsed="false">
      <c r="A26" s="12" t="n">
        <v>45814</v>
      </c>
      <c r="B26" s="13" t="n">
        <v>1792</v>
      </c>
      <c r="C26" s="14" t="n">
        <f aca="false">MIN(52,INT((A26-DATE(YEAR(A26),1,1))/7)+1)</f>
        <v>23</v>
      </c>
      <c r="D26" s="15" t="n">
        <v>278787</v>
      </c>
      <c r="E26" s="15" t="n">
        <v>244000</v>
      </c>
      <c r="F26" s="27" t="n">
        <f aca="false">'3 Regression'!$B$5+'3 Regression'!$B$6*B26+'3 Regression'!$B$7*D26+'3 Regression'!$B$8*E26</f>
        <v>8628.65746071208</v>
      </c>
      <c r="G26" s="18" t="n">
        <f aca="false">INDEX('2 Seasonal Index'!$D$3:$D$54,C26)</f>
        <v>1.03755973679196</v>
      </c>
      <c r="H26" s="28" t="n">
        <f aca="false">F26*G26</f>
        <v>8952.7475638044</v>
      </c>
      <c r="I26" s="15" t="n">
        <v>9170</v>
      </c>
      <c r="J26" s="29" t="n">
        <f aca="false">I26-H26</f>
        <v>217.252436195602</v>
      </c>
      <c r="K26" s="30" t="n">
        <f aca="false">ABS(J26)/I26</f>
        <v>0.0236916506211126</v>
      </c>
    </row>
    <row r="27" customFormat="false" ht="15" hidden="false" customHeight="false" outlineLevel="0" collapsed="false">
      <c r="A27" s="12" t="n">
        <v>45821</v>
      </c>
      <c r="B27" s="13" t="n">
        <v>1793</v>
      </c>
      <c r="C27" s="14" t="n">
        <f aca="false">MIN(52,INT((A27-DATE(YEAR(A27),1,1))/7)+1)</f>
        <v>24</v>
      </c>
      <c r="D27" s="15" t="n">
        <v>278787</v>
      </c>
      <c r="E27" s="15" t="n">
        <v>246000</v>
      </c>
      <c r="F27" s="27" t="n">
        <f aca="false">'3 Regression'!$B$5+'3 Regression'!$B$6*B27+'3 Regression'!$B$7*D27+'3 Regression'!$B$8*E27</f>
        <v>8621.78506474063</v>
      </c>
      <c r="G27" s="18" t="n">
        <f aca="false">INDEX('2 Seasonal Index'!$D$3:$D$54,C27)</f>
        <v>1.03445132468082</v>
      </c>
      <c r="H27" s="28" t="n">
        <f aca="false">F27*G27</f>
        <v>8918.81698133425</v>
      </c>
      <c r="I27" s="15" t="n">
        <v>9299</v>
      </c>
      <c r="J27" s="29" t="n">
        <f aca="false">I27-H27</f>
        <v>380.183018665754</v>
      </c>
      <c r="K27" s="30" t="n">
        <f aca="false">ABS(J27)/I27</f>
        <v>0.0408842906404725</v>
      </c>
    </row>
    <row r="28" customFormat="false" ht="15" hidden="false" customHeight="false" outlineLevel="0" collapsed="false">
      <c r="A28" s="12" t="n">
        <v>45828</v>
      </c>
      <c r="B28" s="13" t="n">
        <v>1794</v>
      </c>
      <c r="C28" s="14" t="n">
        <f aca="false">MIN(52,INT((A28-DATE(YEAR(A28),1,1))/7)+1)</f>
        <v>25</v>
      </c>
      <c r="D28" s="15" t="n">
        <v>278631</v>
      </c>
      <c r="E28" s="15" t="n">
        <v>243000</v>
      </c>
      <c r="F28" s="27" t="n">
        <f aca="false">'3 Regression'!$B$5+'3 Regression'!$B$6*B28+'3 Regression'!$B$7*D28+'3 Regression'!$B$8*E28</f>
        <v>8627.9032269579</v>
      </c>
      <c r="G28" s="18" t="n">
        <f aca="false">INDEX('2 Seasonal Index'!$D$3:$D$54,C28)</f>
        <v>1.03606069309931</v>
      </c>
      <c r="H28" s="28" t="n">
        <f aca="false">F28*G28</f>
        <v>8939.03139731576</v>
      </c>
      <c r="I28" s="15" t="n">
        <v>9688</v>
      </c>
      <c r="J28" s="29" t="n">
        <f aca="false">I28-H28</f>
        <v>748.968602684243</v>
      </c>
      <c r="K28" s="30" t="n">
        <f aca="false">ABS(J28)/I28</f>
        <v>0.0773088978823537</v>
      </c>
    </row>
    <row r="29" customFormat="false" ht="15" hidden="false" customHeight="false" outlineLevel="0" collapsed="false">
      <c r="A29" s="12" t="n">
        <v>45835</v>
      </c>
      <c r="B29" s="13" t="n">
        <v>1795</v>
      </c>
      <c r="C29" s="14" t="n">
        <f aca="false">MIN(52,INT((A29-DATE(YEAR(A29),1,1))/7)+1)</f>
        <v>26</v>
      </c>
      <c r="D29" s="15" t="n">
        <v>278631</v>
      </c>
      <c r="E29" s="15" t="n">
        <v>236000</v>
      </c>
      <c r="F29" s="27" t="n">
        <f aca="false">'3 Regression'!$B$5+'3 Regression'!$B$6*B29+'3 Regression'!$B$7*D29+'3 Regression'!$B$8*E29</f>
        <v>8644.92620337727</v>
      </c>
      <c r="G29" s="18" t="n">
        <f aca="false">INDEX('2 Seasonal Index'!$D$3:$D$54,C29)</f>
        <v>1.05775104170879</v>
      </c>
      <c r="H29" s="28" t="n">
        <f aca="false">F29*G29</f>
        <v>9144.17969711795</v>
      </c>
      <c r="I29" s="15" t="n">
        <v>8640</v>
      </c>
      <c r="J29" s="29" t="n">
        <f aca="false">I29-H29</f>
        <v>-504.179697117947</v>
      </c>
      <c r="K29" s="30" t="n">
        <f aca="false">ABS(J29)/I29</f>
        <v>0.0583541316108734</v>
      </c>
    </row>
    <row r="30" customFormat="false" ht="15" hidden="false" customHeight="false" outlineLevel="0" collapsed="false">
      <c r="A30" s="12" t="n">
        <v>45842</v>
      </c>
      <c r="B30" s="13" t="n">
        <v>1796</v>
      </c>
      <c r="C30" s="14" t="n">
        <f aca="false">MIN(52,INT((A30-DATE(YEAR(A30),1,1))/7)+1)</f>
        <v>27</v>
      </c>
      <c r="D30" s="15" t="n">
        <v>278631</v>
      </c>
      <c r="E30" s="15" t="n">
        <v>231000</v>
      </c>
      <c r="F30" s="27" t="n">
        <f aca="false">'3 Regression'!$B$5+'3 Regression'!$B$6*B30+'3 Regression'!$B$7*D30+'3 Regression'!$B$8*E30</f>
        <v>8656.63909704312</v>
      </c>
      <c r="G30" s="18" t="n">
        <f aca="false">INDEX('2 Seasonal Index'!$D$3:$D$54,C30)</f>
        <v>1.02126188503389</v>
      </c>
      <c r="H30" s="28" t="n">
        <f aca="false">F30*G30</f>
        <v>8840.6955623043</v>
      </c>
      <c r="I30" s="15" t="n">
        <v>9159</v>
      </c>
      <c r="J30" s="29" t="n">
        <f aca="false">I30-H30</f>
        <v>318.304437695702</v>
      </c>
      <c r="K30" s="30" t="n">
        <f aca="false">ABS(J30)/I30</f>
        <v>0.0347531867775633</v>
      </c>
    </row>
    <row r="31" customFormat="false" ht="15" hidden="false" customHeight="false" outlineLevel="0" collapsed="false">
      <c r="A31" s="12" t="n">
        <v>45849</v>
      </c>
      <c r="B31" s="13" t="n">
        <v>1797</v>
      </c>
      <c r="C31" s="14" t="n">
        <f aca="false">MIN(52,INT((A31-DATE(YEAR(A31),1,1))/7)+1)</f>
        <v>28</v>
      </c>
      <c r="D31" s="15" t="n">
        <v>278631</v>
      </c>
      <c r="E31" s="15" t="n">
        <v>228000</v>
      </c>
      <c r="F31" s="27" t="n">
        <f aca="false">'3 Regression'!$B$5+'3 Regression'!$B$6*B31+'3 Regression'!$B$7*D31+'3 Regression'!$B$8*E31</f>
        <v>8663.04190795546</v>
      </c>
      <c r="G31" s="18" t="n">
        <f aca="false">INDEX('2 Seasonal Index'!$D$3:$D$54,C31)</f>
        <v>1.01350902481598</v>
      </c>
      <c r="H31" s="28" t="n">
        <f aca="false">F31*G31</f>
        <v>8780.0711560719</v>
      </c>
      <c r="I31" s="15" t="n">
        <v>8489</v>
      </c>
      <c r="J31" s="29" t="n">
        <f aca="false">I31-H31</f>
        <v>-291.071156071901</v>
      </c>
      <c r="K31" s="30" t="n">
        <f aca="false">ABS(J31)/I31</f>
        <v>0.0342880381755096</v>
      </c>
    </row>
    <row r="32" customFormat="false" ht="15" hidden="false" customHeight="false" outlineLevel="0" collapsed="false">
      <c r="A32" s="12" t="n">
        <v>45856</v>
      </c>
      <c r="B32" s="13" t="n">
        <v>1798</v>
      </c>
      <c r="C32" s="14" t="n">
        <f aca="false">MIN(52,INT((A32-DATE(YEAR(A32),1,1))/7)+1)</f>
        <v>29</v>
      </c>
      <c r="D32" s="15" t="n">
        <v>295214</v>
      </c>
      <c r="E32" s="15" t="n">
        <v>221000</v>
      </c>
      <c r="F32" s="27" t="n">
        <f aca="false">'3 Regression'!$B$5+'3 Regression'!$B$6*B32+'3 Regression'!$B$7*D32+'3 Regression'!$B$8*E32</f>
        <v>8710.32340559458</v>
      </c>
      <c r="G32" s="18" t="n">
        <f aca="false">INDEX('2 Seasonal Index'!$D$3:$D$54,C32)</f>
        <v>1.05195667886475</v>
      </c>
      <c r="H32" s="28" t="n">
        <f aca="false">F32*G32</f>
        <v>9162.88288158721</v>
      </c>
      <c r="I32" s="15" t="n">
        <v>8967</v>
      </c>
      <c r="J32" s="29" t="n">
        <f aca="false">I32-H32</f>
        <v>-195.882881587206</v>
      </c>
      <c r="K32" s="30" t="n">
        <f aca="false">ABS(J32)/I32</f>
        <v>0.0218448624497832</v>
      </c>
    </row>
    <row r="33" customFormat="false" ht="15" hidden="false" customHeight="false" outlineLevel="0" collapsed="false">
      <c r="A33" s="12" t="n">
        <v>45863</v>
      </c>
      <c r="B33" s="13" t="n">
        <v>1799</v>
      </c>
      <c r="C33" s="14" t="n">
        <f aca="false">MIN(52,INT((A33-DATE(YEAR(A33),1,1))/7)+1)</f>
        <v>30</v>
      </c>
      <c r="D33" s="15" t="n">
        <v>295214</v>
      </c>
      <c r="E33" s="15" t="n">
        <v>218000</v>
      </c>
      <c r="F33" s="27" t="n">
        <f aca="false">'3 Regression'!$B$5+'3 Regression'!$B$6*B33+'3 Regression'!$B$7*D33+'3 Regression'!$B$8*E33</f>
        <v>8716.72621650692</v>
      </c>
      <c r="G33" s="18" t="n">
        <f aca="false">INDEX('2 Seasonal Index'!$D$3:$D$54,C33)</f>
        <v>1.03171304153628</v>
      </c>
      <c r="H33" s="28" t="n">
        <f aca="false">F33*G33</f>
        <v>8993.16011707138</v>
      </c>
      <c r="I33" s="15" t="n">
        <v>9152</v>
      </c>
      <c r="J33" s="29" t="n">
        <f aca="false">I33-H33</f>
        <v>158.839882928623</v>
      </c>
      <c r="K33" s="30" t="n">
        <f aca="false">ABS(J33)/I33</f>
        <v>0.0173557564388793</v>
      </c>
    </row>
    <row r="34" customFormat="false" ht="15" hidden="false" customHeight="false" outlineLevel="0" collapsed="false">
      <c r="A34" s="12" t="n">
        <v>45870</v>
      </c>
      <c r="B34" s="13" t="n">
        <v>1800</v>
      </c>
      <c r="C34" s="14" t="n">
        <f aca="false">MIN(52,INT((A34-DATE(YEAR(A34),1,1))/7)+1)</f>
        <v>31</v>
      </c>
      <c r="D34" s="15" t="n">
        <v>295214</v>
      </c>
      <c r="E34" s="15" t="n">
        <v>219000</v>
      </c>
      <c r="F34" s="27" t="n">
        <f aca="false">'3 Regression'!$B$5+'3 Regression'!$B$6*B34+'3 Regression'!$B$7*D34+'3 Regression'!$B$8*E34</f>
        <v>8712.50886191223</v>
      </c>
      <c r="G34" s="18" t="n">
        <f aca="false">INDEX('2 Seasonal Index'!$D$3:$D$54,C34)</f>
        <v>1.03997322006122</v>
      </c>
      <c r="H34" s="28" t="n">
        <f aca="false">F34*G34</f>
        <v>9060.77589593477</v>
      </c>
      <c r="I34" s="15" t="n">
        <v>9040</v>
      </c>
      <c r="J34" s="29" t="n">
        <f aca="false">I34-H34</f>
        <v>-20.7758959347702</v>
      </c>
      <c r="K34" s="30" t="n">
        <f aca="false">ABS(J34)/I34</f>
        <v>0.00229821857685511</v>
      </c>
    </row>
    <row r="35" customFormat="false" ht="15" hidden="false" customHeight="false" outlineLevel="0" collapsed="false">
      <c r="A35" s="12" t="n">
        <v>45877</v>
      </c>
      <c r="B35" s="13" t="n">
        <v>1801</v>
      </c>
      <c r="C35" s="14" t="n">
        <f aca="false">MIN(52,INT((A35-DATE(YEAR(A35),1,1))/7)+1)</f>
        <v>32</v>
      </c>
      <c r="D35" s="15" t="n">
        <v>295214</v>
      </c>
      <c r="E35" s="15" t="n">
        <v>226000</v>
      </c>
      <c r="F35" s="27" t="n">
        <f aca="false">'3 Regression'!$B$5+'3 Regression'!$B$6*B35+'3 Regression'!$B$7*D35+'3 Regression'!$B$8*E35</f>
        <v>8692.36125905699</v>
      </c>
      <c r="G35" s="18" t="n">
        <f aca="false">INDEX('2 Seasonal Index'!$D$3:$D$54,C35)</f>
        <v>1.04061693174176</v>
      </c>
      <c r="H35" s="28" t="n">
        <f aca="false">F35*G35</f>
        <v>9045.41830299081</v>
      </c>
      <c r="I35" s="15" t="n">
        <v>9000</v>
      </c>
      <c r="J35" s="29" t="n">
        <f aca="false">I35-H35</f>
        <v>-45.418302990809</v>
      </c>
      <c r="K35" s="30" t="n">
        <f aca="false">ABS(J35)/I35</f>
        <v>0.00504647811008989</v>
      </c>
    </row>
    <row r="36" customFormat="false" ht="15" hidden="false" customHeight="false" outlineLevel="0" collapsed="false">
      <c r="A36" s="12" t="n">
        <v>45884</v>
      </c>
      <c r="B36" s="13" t="n">
        <v>1802</v>
      </c>
      <c r="C36" s="14" t="n">
        <f aca="false">MIN(52,INT((A36-DATE(YEAR(A36),1,1))/7)+1)</f>
        <v>33</v>
      </c>
      <c r="D36" s="15" t="n">
        <v>286872</v>
      </c>
      <c r="E36" s="15" t="n">
        <v>224000</v>
      </c>
      <c r="F36" s="27" t="n">
        <f aca="false">'3 Regression'!$B$5+'3 Regression'!$B$6*B36+'3 Regression'!$B$7*D36+'3 Regression'!$B$8*E36</f>
        <v>8680.88762209102</v>
      </c>
      <c r="G36" s="18" t="n">
        <f aca="false">INDEX('2 Seasonal Index'!$D$3:$D$54,C36)</f>
        <v>1.02747806583438</v>
      </c>
      <c r="H36" s="28" t="n">
        <f aca="false">F36*G36</f>
        <v>8919.42162367168</v>
      </c>
      <c r="I36" s="15" t="n">
        <v>8842</v>
      </c>
      <c r="J36" s="29" t="n">
        <f aca="false">I36-H36</f>
        <v>-77.421623671682</v>
      </c>
      <c r="K36" s="30" t="n">
        <f aca="false">ABS(J36)/I36</f>
        <v>0.00875612120240693</v>
      </c>
    </row>
    <row r="37" customFormat="false" ht="15" hidden="false" customHeight="false" outlineLevel="0" collapsed="false">
      <c r="A37" s="12" t="n">
        <v>45891</v>
      </c>
      <c r="B37" s="13" t="n">
        <v>1803</v>
      </c>
      <c r="C37" s="14" t="n">
        <f aca="false">MIN(52,INT((A37-DATE(YEAR(A37),1,1))/7)+1)</f>
        <v>34</v>
      </c>
      <c r="D37" s="15" t="n">
        <v>286872</v>
      </c>
      <c r="E37" s="15" t="n">
        <v>233000</v>
      </c>
      <c r="F37" s="27" t="n">
        <f aca="false">'3 Regression'!$B$5+'3 Regression'!$B$6*B37+'3 Regression'!$B$7*D37+'3 Regression'!$B$8*E37</f>
        <v>8655.42993648227</v>
      </c>
      <c r="G37" s="18" t="n">
        <f aca="false">INDEX('2 Seasonal Index'!$D$3:$D$54,C37)</f>
        <v>1.03816398467415</v>
      </c>
      <c r="H37" s="28" t="n">
        <f aca="false">F37*G37</f>
        <v>8985.75563192633</v>
      </c>
      <c r="I37" s="15" t="n">
        <v>9240</v>
      </c>
      <c r="J37" s="29" t="n">
        <f aca="false">I37-H37</f>
        <v>254.244368073674</v>
      </c>
      <c r="K37" s="30" t="n">
        <f aca="false">ABS(J37)/I37</f>
        <v>0.0275156242503976</v>
      </c>
    </row>
    <row r="38" customFormat="false" ht="15" hidden="false" customHeight="false" outlineLevel="0" collapsed="false">
      <c r="A38" s="12" t="n">
        <v>45898</v>
      </c>
      <c r="B38" s="13" t="n">
        <v>1804</v>
      </c>
      <c r="C38" s="14" t="n">
        <f aca="false">MIN(52,INT((A38-DATE(YEAR(A38),1,1))/7)+1)</f>
        <v>35</v>
      </c>
      <c r="D38" s="15" t="n">
        <v>286872</v>
      </c>
      <c r="E38" s="15" t="n">
        <v>229000</v>
      </c>
      <c r="F38" s="27" t="n">
        <f aca="false">'3 Regression'!$B$5+'3 Regression'!$B$6*B38+'3 Regression'!$B$7*D38+'3 Regression'!$B$8*E38</f>
        <v>8664.48778877137</v>
      </c>
      <c r="G38" s="18" t="n">
        <f aca="false">INDEX('2 Seasonal Index'!$D$3:$D$54,C38)</f>
        <v>1.02246595866814</v>
      </c>
      <c r="H38" s="28" t="n">
        <f aca="false">F38*G38</f>
        <v>8859.1438133145</v>
      </c>
      <c r="I38" s="15" t="n">
        <v>9117</v>
      </c>
      <c r="J38" s="29" t="n">
        <f aca="false">I38-H38</f>
        <v>257.856186685498</v>
      </c>
      <c r="K38" s="30" t="n">
        <f aca="false">ABS(J38)/I38</f>
        <v>0.0282830083015792</v>
      </c>
    </row>
    <row r="39" customFormat="false" ht="15" hidden="false" customHeight="false" outlineLevel="0" collapsed="false">
      <c r="A39" s="12" t="n">
        <v>45905</v>
      </c>
      <c r="B39" s="13" t="n">
        <v>1805</v>
      </c>
      <c r="C39" s="14" t="n">
        <f aca="false">MIN(52,INT((A39-DATE(YEAR(A39),1,1))/7)+1)</f>
        <v>36</v>
      </c>
      <c r="D39" s="15" t="n">
        <v>286872</v>
      </c>
      <c r="E39" s="15" t="n">
        <v>236000</v>
      </c>
      <c r="F39" s="27" t="n">
        <f aca="false">'3 Regression'!$B$5+'3 Regression'!$B$6*B39+'3 Regression'!$B$7*D39+'3 Regression'!$B$8*E39</f>
        <v>8644.34018591613</v>
      </c>
      <c r="G39" s="18" t="n">
        <f aca="false">INDEX('2 Seasonal Index'!$D$3:$D$54,C39)</f>
        <v>1.00361083828068</v>
      </c>
      <c r="H39" s="28" t="n">
        <f aca="false">F39*G39</f>
        <v>8675.55350037062</v>
      </c>
      <c r="I39" s="15" t="n">
        <v>8508</v>
      </c>
      <c r="J39" s="29" t="n">
        <f aca="false">I39-H39</f>
        <v>-167.553500370615</v>
      </c>
      <c r="K39" s="30" t="n">
        <f aca="false">ABS(J39)/I39</f>
        <v>0.0196936413223572</v>
      </c>
    </row>
    <row r="40" customFormat="false" ht="15" hidden="false" customHeight="false" outlineLevel="0" collapsed="false">
      <c r="A40" s="12" t="n">
        <v>45912</v>
      </c>
      <c r="B40" s="13" t="n">
        <v>1806</v>
      </c>
      <c r="C40" s="14" t="n">
        <f aca="false">MIN(52,INT((A40-DATE(YEAR(A40),1,1))/7)+1)</f>
        <v>37</v>
      </c>
      <c r="D40" s="15" t="n">
        <v>286872</v>
      </c>
      <c r="E40" s="15" t="n">
        <v>259000</v>
      </c>
      <c r="F40" s="27" t="n">
        <f aca="false">'3 Regression'!$B$5+'3 Regression'!$B$6*B40+'3 Regression'!$B$7*D40+'3 Regression'!$B$8*E40</f>
        <v>8581.71192103278</v>
      </c>
      <c r="G40" s="18" t="n">
        <f aca="false">INDEX('2 Seasonal Index'!$D$3:$D$54,C40)</f>
        <v>0.988109440121203</v>
      </c>
      <c r="H40" s="28" t="n">
        <f aca="false">F40*G40</f>
        <v>8479.67056157316</v>
      </c>
      <c r="I40" s="15" t="n">
        <v>8810</v>
      </c>
      <c r="J40" s="29" t="n">
        <f aca="false">I40-H40</f>
        <v>330.329438426845</v>
      </c>
      <c r="K40" s="30" t="n">
        <f aca="false">ABS(J40)/I40</f>
        <v>0.0374948284252945</v>
      </c>
    </row>
    <row r="41" customFormat="false" ht="15" hidden="false" customHeight="false" outlineLevel="0" collapsed="false">
      <c r="A41" s="12" t="n">
        <v>45919</v>
      </c>
      <c r="B41" s="13" t="n">
        <v>1807</v>
      </c>
      <c r="C41" s="14" t="n">
        <f aca="false">MIN(52,INT((A41-DATE(YEAR(A41),1,1))/7)+1)</f>
        <v>38</v>
      </c>
      <c r="D41" s="15" t="n">
        <v>297161</v>
      </c>
      <c r="E41" s="15" t="n">
        <v>233000</v>
      </c>
      <c r="F41" s="27" t="n">
        <f aca="false">'3 Regression'!$B$5+'3 Regression'!$B$6*B41+'3 Regression'!$B$7*D41+'3 Regression'!$B$8*E41</f>
        <v>8667.95472478704</v>
      </c>
      <c r="G41" s="18" t="n">
        <f aca="false">INDEX('2 Seasonal Index'!$D$3:$D$54,C41)</f>
        <v>1.00996081852754</v>
      </c>
      <c r="H41" s="28" t="n">
        <f aca="false">F41*G41</f>
        <v>8754.29464880554</v>
      </c>
      <c r="I41" s="15" t="n">
        <v>8959</v>
      </c>
      <c r="J41" s="29" t="n">
        <f aca="false">I41-H41</f>
        <v>204.705351194456</v>
      </c>
      <c r="K41" s="30" t="n">
        <f aca="false">ABS(J41)/I41</f>
        <v>0.0228491295004416</v>
      </c>
    </row>
    <row r="42" customFormat="false" ht="15" hidden="false" customHeight="false" outlineLevel="0" collapsed="false">
      <c r="A42" s="12" t="n">
        <v>45926</v>
      </c>
      <c r="B42" s="13" t="n">
        <v>1808</v>
      </c>
      <c r="C42" s="14" t="n">
        <f aca="false">MIN(52,INT((A42-DATE(YEAR(A42),1,1))/7)+1)</f>
        <v>39</v>
      </c>
      <c r="D42" s="15" t="n">
        <v>297161</v>
      </c>
      <c r="E42" s="15" t="n">
        <v>219000</v>
      </c>
      <c r="F42" s="27" t="n">
        <f aca="false">'3 Regression'!$B$5+'3 Regression'!$B$6*B42+'3 Regression'!$B$7*D42+'3 Regression'!$B$8*E42</f>
        <v>8703.56299084371</v>
      </c>
      <c r="G42" s="18" t="n">
        <f aca="false">INDEX('2 Seasonal Index'!$D$3:$D$54,C42)</f>
        <v>0.982712197281613</v>
      </c>
      <c r="H42" s="28" t="n">
        <f aca="false">F42*G42</f>
        <v>8553.09751091095</v>
      </c>
      <c r="I42" s="15" t="n">
        <v>8518</v>
      </c>
      <c r="J42" s="29" t="n">
        <f aca="false">I42-H42</f>
        <v>-35.0975109109495</v>
      </c>
      <c r="K42" s="30" t="n">
        <f aca="false">ABS(J42)/I42</f>
        <v>0.0041203933917527</v>
      </c>
    </row>
    <row r="43" customFormat="false" ht="15" hidden="false" customHeight="false" outlineLevel="0" collapsed="false">
      <c r="A43" s="12" t="n">
        <v>45933</v>
      </c>
      <c r="B43" s="13" t="n">
        <v>1809</v>
      </c>
      <c r="C43" s="14" t="n">
        <f aca="false">MIN(52,INT((A43-DATE(YEAR(A43),1,1))/7)+1)</f>
        <v>40</v>
      </c>
      <c r="D43" s="15" t="n">
        <v>297161</v>
      </c>
      <c r="E43" s="15" t="n">
        <v>225000</v>
      </c>
      <c r="F43" s="27" t="n">
        <f aca="false">'3 Regression'!$B$5+'3 Regression'!$B$6*B43+'3 Regression'!$B$7*D43+'3 Regression'!$B$8*E43</f>
        <v>8686.07042936523</v>
      </c>
      <c r="G43" s="18" t="n">
        <f aca="false">INDEX('2 Seasonal Index'!$D$3:$D$54,C43)</f>
        <v>1.0036663428041</v>
      </c>
      <c r="H43" s="28" t="n">
        <f aca="false">F43*G43</f>
        <v>8717.91654117982</v>
      </c>
      <c r="I43" s="15" t="n">
        <v>8919</v>
      </c>
      <c r="J43" s="29" t="n">
        <f aca="false">I43-H43</f>
        <v>201.083458820183</v>
      </c>
      <c r="K43" s="30" t="n">
        <f aca="false">ABS(J43)/I43</f>
        <v>0.0225455161812068</v>
      </c>
    </row>
    <row r="44" customFormat="false" ht="15" hidden="false" customHeight="false" outlineLevel="0" collapsed="false">
      <c r="A44" s="12" t="n">
        <v>45940</v>
      </c>
      <c r="B44" s="13" t="n">
        <v>1810</v>
      </c>
      <c r="C44" s="14" t="n">
        <f aca="false">MIN(52,INT((A44-DATE(YEAR(A44),1,1))/7)+1)</f>
        <v>41</v>
      </c>
      <c r="D44" s="15" t="n">
        <v>297161</v>
      </c>
      <c r="E44" s="15" t="n">
        <v>233000</v>
      </c>
      <c r="F44" s="27" t="n">
        <f aca="false">'3 Regression'!$B$5+'3 Regression'!$B$6*B44+'3 Regression'!$B$7*D44+'3 Regression'!$B$8*E44</f>
        <v>8663.26778513324</v>
      </c>
      <c r="G44" s="18" t="n">
        <f aca="false">INDEX('2 Seasonal Index'!$D$3:$D$54,C44)</f>
        <v>0.995835782550445</v>
      </c>
      <c r="H44" s="28" t="n">
        <f aca="false">F44*G44</f>
        <v>8627.19205425222</v>
      </c>
      <c r="I44" s="15" t="n">
        <v>8455</v>
      </c>
      <c r="J44" s="29" t="n">
        <f aca="false">I44-H44</f>
        <v>-172.192054252222</v>
      </c>
      <c r="K44" s="30" t="n">
        <f aca="false">ABS(J44)/I44</f>
        <v>0.0203657071853604</v>
      </c>
    </row>
    <row r="45" customFormat="false" ht="15" hidden="false" customHeight="false" outlineLevel="0" collapsed="false">
      <c r="A45" s="12" t="n">
        <v>45947</v>
      </c>
      <c r="B45" s="13" t="n">
        <v>1811</v>
      </c>
      <c r="C45" s="14" t="n">
        <f aca="false">MIN(52,INT((A45-DATE(YEAR(A45),1,1))/7)+1)</f>
        <v>42</v>
      </c>
      <c r="D45" s="15" t="n">
        <v>295928</v>
      </c>
      <c r="E45" s="15" t="n">
        <v>222000</v>
      </c>
      <c r="F45" s="27" t="n">
        <f aca="false">'3 Regression'!$B$5+'3 Regression'!$B$6*B45+'3 Regression'!$B$7*D45+'3 Regression'!$B$8*E45</f>
        <v>8688.66110756594</v>
      </c>
      <c r="G45" s="18" t="n">
        <f aca="false">INDEX('2 Seasonal Index'!$D$3:$D$54,C45)</f>
        <v>1.00307364557144</v>
      </c>
      <c r="H45" s="28" t="n">
        <f aca="false">F45*G45</f>
        <v>8715.36697230098</v>
      </c>
      <c r="I45" s="15" t="n">
        <v>8454</v>
      </c>
      <c r="J45" s="29" t="n">
        <f aca="false">I45-H45</f>
        <v>-261.366972300984</v>
      </c>
      <c r="K45" s="30" t="n">
        <f aca="false">ABS(J45)/I45</f>
        <v>0.0309163676722243</v>
      </c>
    </row>
    <row r="46" customFormat="false" ht="15" hidden="false" customHeight="false" outlineLevel="0" collapsed="false">
      <c r="A46" s="12" t="n">
        <v>45954</v>
      </c>
      <c r="B46" s="13" t="n">
        <v>1812</v>
      </c>
      <c r="C46" s="14" t="n">
        <f aca="false">MIN(52,INT((A46-DATE(YEAR(A46),1,1))/7)+1)</f>
        <v>43</v>
      </c>
      <c r="D46" s="15" t="n">
        <v>295928</v>
      </c>
      <c r="E46" s="15" t="n">
        <v>231000</v>
      </c>
      <c r="F46" s="27" t="n">
        <f aca="false">'3 Regression'!$B$5+'3 Regression'!$B$6*B46+'3 Regression'!$B$7*D46+'3 Regression'!$B$8*E46</f>
        <v>8663.20342195719</v>
      </c>
      <c r="G46" s="18" t="n">
        <f aca="false">INDEX('2 Seasonal Index'!$D$3:$D$54,C46)</f>
        <v>1.01224087755293</v>
      </c>
      <c r="H46" s="28" t="n">
        <f aca="false">F46*G46</f>
        <v>8769.24863426153</v>
      </c>
      <c r="I46" s="15" t="n">
        <v>8924</v>
      </c>
      <c r="J46" s="29" t="n">
        <f aca="false">I46-H46</f>
        <v>154.751365738475</v>
      </c>
      <c r="K46" s="30" t="n">
        <f aca="false">ABS(J46)/I46</f>
        <v>0.0173410315708735</v>
      </c>
    </row>
    <row r="47" customFormat="false" ht="15" hidden="false" customHeight="false" outlineLevel="0" collapsed="false">
      <c r="A47" s="12" t="n">
        <v>45961</v>
      </c>
      <c r="B47" s="13" t="n">
        <v>1813</v>
      </c>
      <c r="C47" s="14" t="n">
        <f aca="false">MIN(52,INT((A47-DATE(YEAR(A47),1,1))/7)+1)</f>
        <v>44</v>
      </c>
      <c r="D47" s="15" t="n">
        <v>295928</v>
      </c>
      <c r="E47" s="15" t="n">
        <v>221000</v>
      </c>
      <c r="F47" s="27" t="n">
        <f aca="false">'3 Regression'!$B$5+'3 Regression'!$B$6*B47+'3 Regression'!$B$7*D47+'3 Regression'!$B$8*E47</f>
        <v>8688.19152250683</v>
      </c>
      <c r="G47" s="18" t="n">
        <f aca="false">INDEX('2 Seasonal Index'!$D$3:$D$54,C47)</f>
        <v>1.01203159220993</v>
      </c>
      <c r="H47" s="28" t="n">
        <f aca="false">F47*G47</f>
        <v>8792.72429994742</v>
      </c>
      <c r="I47" s="15" t="n">
        <v>8874</v>
      </c>
      <c r="J47" s="29" t="n">
        <f aca="false">I47-H47</f>
        <v>81.2757000525762</v>
      </c>
      <c r="K47" s="30" t="n">
        <f aca="false">ABS(J47)/I47</f>
        <v>0.00915885734196261</v>
      </c>
    </row>
    <row r="48" customFormat="false" ht="15" hidden="false" customHeight="false" outlineLevel="0" collapsed="false">
      <c r="A48" s="12" t="n">
        <v>45968</v>
      </c>
      <c r="B48" s="13" t="n">
        <v>1814</v>
      </c>
      <c r="C48" s="14" t="n">
        <f aca="false">MIN(52,INT((A48-DATE(YEAR(A48),1,1))/7)+1)</f>
        <v>45</v>
      </c>
      <c r="D48" s="15" t="n">
        <v>295928</v>
      </c>
      <c r="E48" s="15" t="n">
        <v>228000</v>
      </c>
      <c r="F48" s="27" t="n">
        <f aca="false">'3 Regression'!$B$5+'3 Regression'!$B$6*B48+'3 Regression'!$B$7*D48+'3 Regression'!$B$8*E48</f>
        <v>8668.04391965159</v>
      </c>
      <c r="G48" s="18" t="n">
        <f aca="false">INDEX('2 Seasonal Index'!$D$3:$D$54,C48)</f>
        <v>1.01104078083898</v>
      </c>
      <c r="H48" s="28" t="n">
        <f aca="false">F48*G48</f>
        <v>8763.74589287108</v>
      </c>
      <c r="I48" s="15" t="n">
        <v>9028</v>
      </c>
      <c r="J48" s="29" t="n">
        <f aca="false">I48-H48</f>
        <v>264.254107128922</v>
      </c>
      <c r="K48" s="30" t="n">
        <f aca="false">ABS(J48)/I48</f>
        <v>0.0292705036695748</v>
      </c>
    </row>
    <row r="49" customFormat="false" ht="15" hidden="false" customHeight="false" outlineLevel="0" collapsed="false">
      <c r="A49" s="12" t="n">
        <v>45975</v>
      </c>
      <c r="B49" s="13" t="n">
        <v>1815</v>
      </c>
      <c r="C49" s="14" t="n">
        <f aca="false">MIN(52,INT((A49-DATE(YEAR(A49),1,1))/7)+1)</f>
        <v>46</v>
      </c>
      <c r="D49" s="15" t="n">
        <v>295928</v>
      </c>
      <c r="E49" s="15" t="n">
        <v>228000</v>
      </c>
      <c r="F49" s="27" t="n">
        <f aca="false">'3 Regression'!$B$5+'3 Regression'!$B$6*B49+'3 Regression'!$B$7*D49+'3 Regression'!$B$8*E49</f>
        <v>8666.48160643366</v>
      </c>
      <c r="G49" s="18" t="n">
        <f aca="false">INDEX('2 Seasonal Index'!$D$3:$D$54,C49)</f>
        <v>0.986356106092814</v>
      </c>
      <c r="H49" s="28" t="n">
        <f aca="false">F49*G49</f>
        <v>8548.2370508469</v>
      </c>
      <c r="I49" s="15" t="n">
        <v>8528</v>
      </c>
      <c r="J49" s="29" t="n">
        <f aca="false">I49-H49</f>
        <v>-20.2370508468957</v>
      </c>
      <c r="K49" s="30" t="n">
        <f aca="false">ABS(J49)/I49</f>
        <v>0.00237301252895119</v>
      </c>
    </row>
    <row r="50" customFormat="false" ht="15" hidden="false" customHeight="false" outlineLevel="0" collapsed="false">
      <c r="A50" s="12" t="n">
        <v>45982</v>
      </c>
      <c r="B50" s="13" t="n">
        <v>1816</v>
      </c>
      <c r="C50" s="14" t="n">
        <f aca="false">MIN(52,INT((A50-DATE(YEAR(A50),1,1))/7)+1)</f>
        <v>47</v>
      </c>
      <c r="D50" s="15" t="n">
        <v>279611</v>
      </c>
      <c r="E50" s="15" t="n">
        <v>222000</v>
      </c>
      <c r="F50" s="27" t="n">
        <f aca="false">'3 Regression'!$B$5+'3 Regression'!$B$6*B50+'3 Regression'!$B$7*D50+'3 Regression'!$B$8*E50</f>
        <v>8651.07638277502</v>
      </c>
      <c r="G50" s="18" t="n">
        <f aca="false">INDEX('2 Seasonal Index'!$D$3:$D$54,C50)</f>
        <v>0.965789408729148</v>
      </c>
      <c r="H50" s="28" t="n">
        <f aca="false">F50*G50</f>
        <v>8355.11794459098</v>
      </c>
      <c r="I50" s="15" t="n">
        <v>8726</v>
      </c>
      <c r="J50" s="29" t="n">
        <f aca="false">I50-H50</f>
        <v>370.882055409022</v>
      </c>
      <c r="K50" s="30" t="n">
        <f aca="false">ABS(J50)/I50</f>
        <v>0.0425031005511141</v>
      </c>
    </row>
    <row r="51" customFormat="false" ht="15" hidden="false" customHeight="false" outlineLevel="0" collapsed="false">
      <c r="A51" s="12" t="n">
        <v>45989</v>
      </c>
      <c r="B51" s="13" t="n">
        <v>1817</v>
      </c>
      <c r="C51" s="14" t="n">
        <f aca="false">MIN(52,INT((A51-DATE(YEAR(A51),1,1))/7)+1)</f>
        <v>48</v>
      </c>
      <c r="D51" s="15" t="n">
        <v>279611</v>
      </c>
      <c r="E51" s="15" t="n">
        <v>218000</v>
      </c>
      <c r="F51" s="27" t="n">
        <f aca="false">'3 Regression'!$B$5+'3 Regression'!$B$6*B51+'3 Regression'!$B$7*D51+'3 Regression'!$B$8*E51</f>
        <v>8660.13423506411</v>
      </c>
      <c r="G51" s="18" t="n">
        <f aca="false">INDEX('2 Seasonal Index'!$D$3:$D$54,C51)</f>
        <v>0.974753768618106</v>
      </c>
      <c r="H51" s="28" t="n">
        <f aca="false">F51*G51</f>
        <v>8441.49848236743</v>
      </c>
      <c r="I51" s="15" t="n">
        <v>8326</v>
      </c>
      <c r="J51" s="29" t="n">
        <f aca="false">I51-H51</f>
        <v>-115.498482367426</v>
      </c>
      <c r="K51" s="30" t="n">
        <f aca="false">ABS(J51)/I51</f>
        <v>0.0138720252663255</v>
      </c>
    </row>
    <row r="52" customFormat="false" ht="15" hidden="false" customHeight="false" outlineLevel="0" collapsed="false">
      <c r="A52" s="12" t="n">
        <v>45996</v>
      </c>
      <c r="B52" s="13" t="n">
        <v>1818</v>
      </c>
      <c r="C52" s="14" t="n">
        <f aca="false">MIN(52,INT((A52-DATE(YEAR(A52),1,1))/7)+1)</f>
        <v>49</v>
      </c>
      <c r="D52" s="15" t="n">
        <v>279611</v>
      </c>
      <c r="E52" s="15" t="n">
        <v>216000</v>
      </c>
      <c r="F52" s="27" t="n">
        <f aca="false">'3 Regression'!$B$5+'3 Regression'!$B$6*B52+'3 Regression'!$B$7*D52+'3 Regression'!$B$8*E52</f>
        <v>8663.88200459969</v>
      </c>
      <c r="G52" s="18" t="n">
        <f aca="false">INDEX('2 Seasonal Index'!$D$3:$D$54,C52)</f>
        <v>0.980293720669235</v>
      </c>
      <c r="H52" s="28" t="n">
        <f aca="false">F52*G52</f>
        <v>8493.14912572827</v>
      </c>
      <c r="I52" s="15" t="n">
        <v>8456</v>
      </c>
      <c r="J52" s="29" t="n">
        <f aca="false">I52-H52</f>
        <v>-37.1491257282669</v>
      </c>
      <c r="K52" s="30" t="n">
        <f aca="false">ABS(J52)/I52</f>
        <v>0.00439322678905711</v>
      </c>
    </row>
    <row r="53" customFormat="false" ht="15" hidden="false" customHeight="false" outlineLevel="0" collapsed="false">
      <c r="A53" s="12" t="n">
        <v>46003</v>
      </c>
      <c r="B53" s="13" t="n">
        <v>1819</v>
      </c>
      <c r="C53" s="14" t="n">
        <f aca="false">MIN(52,INT((A53-DATE(YEAR(A53),1,1))/7)+1)</f>
        <v>50</v>
      </c>
      <c r="D53" s="15" t="n">
        <v>279611</v>
      </c>
      <c r="E53" s="15" t="n">
        <v>235000</v>
      </c>
      <c r="F53" s="27" t="n">
        <f aca="false">'3 Regression'!$B$5+'3 Regression'!$B$6*B53+'3 Regression'!$B$7*D53+'3 Regression'!$B$8*E53</f>
        <v>8611.87390522337</v>
      </c>
      <c r="G53" s="18" t="n">
        <f aca="false">INDEX('2 Seasonal Index'!$D$3:$D$54,C53)</f>
        <v>1.00060911532618</v>
      </c>
      <c r="H53" s="28" t="n">
        <f aca="false">F53*G53</f>
        <v>8617.11952960617</v>
      </c>
      <c r="I53" s="15" t="n">
        <v>9078</v>
      </c>
      <c r="J53" s="29" t="n">
        <f aca="false">I53-H53</f>
        <v>460.880470393828</v>
      </c>
      <c r="K53" s="30" t="n">
        <f aca="false">ABS(J53)/I53</f>
        <v>0.0507689436432945</v>
      </c>
    </row>
    <row r="54" customFormat="false" ht="15" hidden="false" customHeight="false" outlineLevel="0" collapsed="false">
      <c r="A54" s="12" t="n">
        <v>46010</v>
      </c>
      <c r="B54" s="13" t="n">
        <v>1820</v>
      </c>
      <c r="C54" s="14" t="n">
        <f aca="false">MIN(52,INT((A54-DATE(YEAR(A54),1,1))/7)+1)</f>
        <v>51</v>
      </c>
      <c r="D54" s="15" t="n">
        <v>291540</v>
      </c>
      <c r="E54" s="15" t="n">
        <v>224000</v>
      </c>
      <c r="F54" s="27" t="n">
        <f aca="false">'3 Regression'!$B$5+'3 Regression'!$B$6*B54+'3 Regression'!$B$7*D54+'3 Regression'!$B$8*E54</f>
        <v>8661.28354896672</v>
      </c>
      <c r="G54" s="18" t="n">
        <f aca="false">INDEX('2 Seasonal Index'!$D$3:$D$54,C54)</f>
        <v>1.02197331378228</v>
      </c>
      <c r="H54" s="28" t="n">
        <f aca="false">F54*G54</f>
        <v>8851.60065014543</v>
      </c>
      <c r="I54" s="15" t="n">
        <v>8942</v>
      </c>
      <c r="J54" s="29" t="n">
        <f aca="false">I54-H54</f>
        <v>90.3993498545733</v>
      </c>
      <c r="K54" s="30" t="n">
        <f aca="false">ABS(J54)/I54</f>
        <v>0.0101095224619295</v>
      </c>
    </row>
    <row r="55" customFormat="false" ht="15" hidden="false" customHeight="false" outlineLevel="0" collapsed="false">
      <c r="A55" s="12" t="n">
        <v>46017</v>
      </c>
      <c r="B55" s="13" t="n">
        <v>1821</v>
      </c>
      <c r="C55" s="14" t="n">
        <f aca="false">MIN(52,INT((A55-DATE(YEAR(A55),1,1))/7)+1)</f>
        <v>52</v>
      </c>
      <c r="D55" s="15" t="n">
        <v>291540</v>
      </c>
      <c r="E55" s="15" t="n">
        <v>215000</v>
      </c>
      <c r="F55" s="27" t="n">
        <f aca="false">'3 Regression'!$B$5+'3 Regression'!$B$6*B55+'3 Regression'!$B$7*D55+'3 Regression'!$B$8*E55</f>
        <v>8683.6166081396</v>
      </c>
      <c r="G55" s="18" t="n">
        <f aca="false">INDEX('2 Seasonal Index'!$D$3:$D$54,C55)</f>
        <v>0.941059701689701</v>
      </c>
      <c r="H55" s="28" t="n">
        <f aca="false">F55*G55</f>
        <v>8171.80165484359</v>
      </c>
      <c r="I55" s="15" t="n">
        <v>8563</v>
      </c>
      <c r="J55" s="29" t="n">
        <f aca="false">I55-H55</f>
        <v>391.198345156412</v>
      </c>
      <c r="K55" s="30" t="n">
        <f aca="false">ABS(J55)/I55</f>
        <v>0.0456847302529968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2026-09-15T20:14:45Z</dcterms:created>
  <dc:creator>openpyxl</dc:creator>
  <dc:description/>
  <dc:language>en-US</dc:language>
  <cp:lastModifiedBy/>
  <dcterms:modified xsi:type="dcterms:W3CDTF">2026-09-15T20:14:47Z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